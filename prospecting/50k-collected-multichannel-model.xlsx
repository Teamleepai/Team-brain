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Activity" sheetId="2" state="visible" r:id="rId2"/>
    <sheet name="Paid Ads" sheetId="3" state="visible" r:id="rId3"/>
    <sheet name="Up-Market Pricing" sheetId="4" state="visible" r:id="rId4"/>
    <sheet name="Timeline" sheetId="5" state="visible" r:id="rId5"/>
    <sheet name="Industry Profiles" sheetId="6" state="visible" r:id="rId6"/>
    <sheet name="Strategy Compa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-"/>
    <numFmt numFmtId="165" formatCode="#,##0.0;(#,##0.0);-"/>
    <numFmt numFmtId="166" formatCode="#,##0;(#,##0);-"/>
    <numFmt numFmtId="167" formatCode="0.0%;(0.0%);-"/>
  </numFmts>
  <fonts count="13">
    <font>
      <name val="Calibri"/>
      <family val="2"/>
      <color theme="1"/>
      <sz val="11"/>
      <scheme val="minor"/>
    </font>
    <font>
      <name val="Arial"/>
      <b val="1"/>
      <color rgb="000E3A44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0E3A44"/>
      <sz val="11"/>
    </font>
    <font>
      <name val="Arial"/>
      <sz val="10"/>
    </font>
    <font>
      <name val="Arial"/>
      <color rgb="000000FF"/>
      <sz val="10"/>
    </font>
    <font>
      <name val="Arial"/>
      <color rgb="00595959"/>
      <sz val="9"/>
    </font>
    <font>
      <name val="Arial"/>
      <b val="1"/>
      <color rgb="00C00000"/>
      <sz val="9"/>
    </font>
    <font>
      <name val="Arial"/>
      <color rgb="00008000"/>
      <sz val="10"/>
    </font>
    <font>
      <name val="Arial"/>
      <b val="1"/>
      <color rgb="000E3A44"/>
      <sz val="10"/>
    </font>
    <font>
      <name val="Arial"/>
      <b val="1"/>
      <color rgb="00C00000"/>
      <sz val="10"/>
    </font>
    <font>
      <name val="Arial"/>
      <b val="1"/>
      <color rgb="000E3A44"/>
      <sz val="9"/>
    </font>
  </fonts>
  <fills count="7">
    <fill>
      <patternFill/>
    </fill>
    <fill>
      <patternFill patternType="gray125"/>
    </fill>
    <fill>
      <patternFill patternType="solid">
        <fgColor rgb="00DCE6E9"/>
      </patternFill>
    </fill>
    <fill>
      <patternFill patternType="solid">
        <fgColor rgb="00FFFF00"/>
      </patternFill>
    </fill>
    <fill>
      <patternFill patternType="solid">
        <fgColor rgb="00E2EFF1"/>
      </patternFill>
    </fill>
    <fill>
      <patternFill patternType="solid">
        <fgColor rgb="00FBE4E4"/>
      </patternFill>
    </fill>
    <fill>
      <patternFill patternType="solid">
        <fgColor rgb="00F2F5F6"/>
      </patternFill>
    </fill>
  </fills>
  <borders count="5">
    <border>
      <left/>
      <right/>
      <top/>
      <bottom/>
      <diagonal/>
    </border>
    <border>
      <left style="thin">
        <color rgb="00B7C2C6"/>
      </left>
      <right style="thin">
        <color rgb="00B7C2C6"/>
      </right>
      <top style="thin">
        <color rgb="00B7C2C6"/>
      </top>
      <bottom style="thin">
        <color rgb="00B7C2C6"/>
      </bottom>
    </border>
    <border>
      <left/>
      <right/>
      <top style="thin">
        <color rgb="00B7C2C6"/>
      </top>
      <bottom/>
      <diagonal/>
    </border>
    <border>
      <left/>
      <right style="thin">
        <color rgb="00B7C2C6"/>
      </right>
      <top style="thin">
        <color rgb="00B7C2C6"/>
      </top>
      <bottom/>
      <diagonal/>
    </border>
    <border>
      <left/>
      <right style="thin">
        <color rgb="00B7C2C6"/>
      </right>
      <top style="thin">
        <color rgb="00B7C2C6"/>
      </top>
      <bottom style="thin">
        <color rgb="00B7C2C6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0" pivotButton="0" quotePrefix="0" xfId="0"/>
    <xf numFmtId="164" fontId="6" fillId="3" borderId="1" pivotButton="0" quotePrefix="0" xfId="0"/>
    <xf numFmtId="0" fontId="7" fillId="0" borderId="0" pivotButton="0" quotePrefix="0" xfId="0"/>
    <xf numFmtId="164" fontId="5" fillId="4" borderId="1" pivotButton="0" quotePrefix="0" xfId="0"/>
    <xf numFmtId="165" fontId="6" fillId="3" borderId="1" pivotButton="0" quotePrefix="0" xfId="0"/>
    <xf numFmtId="0" fontId="8" fillId="0" borderId="0" pivotButton="0" quotePrefix="0" xfId="0"/>
    <xf numFmtId="166" fontId="6" fillId="3" borderId="1" pivotButton="0" quotePrefix="0" xfId="0"/>
    <xf numFmtId="166" fontId="5" fillId="4" borderId="1" pivotButton="0" quotePrefix="0" xfId="0"/>
    <xf numFmtId="164" fontId="5" fillId="0" borderId="1" pivotButton="0" quotePrefix="0" xfId="0"/>
    <xf numFmtId="167" fontId="6" fillId="3" borderId="1" pivotButton="0" quotePrefix="0" xfId="0"/>
    <xf numFmtId="0" fontId="3" fillId="3" borderId="1" pivotButton="0" quotePrefix="0" xfId="0"/>
    <xf numFmtId="166" fontId="5" fillId="0" borderId="1" pivotButton="0" quotePrefix="0" xfId="0"/>
    <xf numFmtId="167" fontId="5" fillId="0" borderId="1" pivotButton="0" quotePrefix="0" xfId="0"/>
    <xf numFmtId="165" fontId="5" fillId="4" borderId="1" pivotButton="0" quotePrefix="0" xfId="0"/>
    <xf numFmtId="166" fontId="6" fillId="0" borderId="1" pivotButton="0" quotePrefix="0" xfId="0"/>
    <xf numFmtId="166" fontId="9" fillId="0" borderId="1" pivotButton="0" quotePrefix="0" xfId="0"/>
    <xf numFmtId="165" fontId="5" fillId="0" borderId="1" pivotButton="0" quotePrefix="0" xfId="0"/>
    <xf numFmtId="167" fontId="9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10" fillId="0" borderId="0" pivotButton="0" quotePrefix="0" xfId="0"/>
    <xf numFmtId="0" fontId="5" fillId="0" borderId="1" pivotButton="0" quotePrefix="0" xfId="0"/>
    <xf numFmtId="0" fontId="5" fillId="5" borderId="1" pivotButton="0" quotePrefix="0" xfId="0"/>
    <xf numFmtId="0" fontId="3" fillId="5" borderId="1" pivotButton="0" quotePrefix="0" xfId="0"/>
    <xf numFmtId="0" fontId="7" fillId="5" borderId="0" pivotButton="0" quotePrefix="0" xfId="0"/>
    <xf numFmtId="0" fontId="5" fillId="4" borderId="1" pivotButton="0" quotePrefix="0" xfId="0"/>
    <xf numFmtId="0" fontId="3" fillId="4" borderId="1" pivotButton="0" quotePrefix="0" xfId="0"/>
    <xf numFmtId="0" fontId="7" fillId="4" borderId="0" pivotButton="0" quotePrefix="0" xfId="0"/>
    <xf numFmtId="0" fontId="11" fillId="0" borderId="0" pivotButton="0" quotePrefix="0" xfId="0"/>
    <xf numFmtId="166" fontId="6" fillId="4" borderId="1" pivotButton="0" quotePrefix="0" xfId="0"/>
    <xf numFmtId="0" fontId="12" fillId="0" borderId="0" pivotButton="0" quotePrefix="0" xfId="0"/>
    <xf numFmtId="164" fontId="6" fillId="0" borderId="1" pivotButton="0" quotePrefix="0" xfId="0"/>
    <xf numFmtId="0" fontId="7" fillId="0" borderId="1" applyAlignment="1" pivotButton="0" quotePrefix="0" xfId="0">
      <alignment vertical="top" wrapText="1"/>
    </xf>
    <xf numFmtId="0" fontId="6" fillId="0" borderId="1" pivotButton="0" quotePrefix="0" xfId="0"/>
    <xf numFmtId="0" fontId="7" fillId="0" borderId="1" pivotButton="0" quotePrefix="0" xfId="0"/>
    <xf numFmtId="0" fontId="5" fillId="6" borderId="1" pivotButton="0" quotePrefix="0" xfId="0"/>
    <xf numFmtId="0" fontId="7" fillId="6" borderId="1" pivotButton="0" quotePrefix="0" xfId="0"/>
    <xf numFmtId="164" fontId="6" fillId="6" borderId="1" pivotButton="0" quotePrefix="0" xfId="0"/>
    <xf numFmtId="0" fontId="7" fillId="6" borderId="0" pivotButton="0" quotePrefix="0" xfId="0"/>
    <xf numFmtId="0" fontId="11" fillId="5" borderId="1" pivotButton="0" quotePrefix="0" xfId="0"/>
    <xf numFmtId="0" fontId="7" fillId="5" borderId="1" pivotButton="0" quotePrefix="0" xfId="0"/>
    <xf numFmtId="164" fontId="11" fillId="5" borderId="1" pivotButton="0" quotePrefix="0" xfId="0"/>
    <xf numFmtId="0" fontId="8" fillId="5" borderId="0" pivotButton="0" quotePrefix="0" xfId="0"/>
    <xf numFmtId="0" fontId="7" fillId="4" borderId="1" pivotButton="0" quotePrefix="0" xfId="0"/>
    <xf numFmtId="164" fontId="6" fillId="5" borderId="1" pivotButton="0" quotePrefix="0" xfId="0"/>
    <xf numFmtId="164" fontId="5" fillId="5" borderId="1" pivotButton="0" quotePrefix="0" xfId="0"/>
    <xf numFmtId="0" fontId="5" fillId="5" borderId="0" pivotButton="0" quotePrefix="0" xfId="0"/>
    <xf numFmtId="164" fontId="6" fillId="4" borderId="1" pivotButton="0" quotePrefix="0" xfId="0"/>
    <xf numFmtId="0" fontId="3" fillId="4" borderId="0" pivotButton="0" quotePrefix="0" xfId="0"/>
    <xf numFmtId="0" fontId="11" fillId="0" borderId="1" pivotButton="0" quotePrefix="0" xfId="0"/>
    <xf numFmtId="0" fontId="7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center" wrapText="1"/>
    </xf>
    <xf numFmtId="0" fontId="3" fillId="6" borderId="1" pivotButton="0" quotePrefix="0" xfId="0"/>
    <xf numFmtId="0" fontId="5" fillId="6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0" fillId="0" borderId="4" pivotButton="0" quotePrefix="0" xfId="0"/>
    <xf numFmtId="0" fontId="5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164" fontId="9" fillId="0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Model</author>
  </authors>
  <commentList>
    <comment ref="C12" authorId="0" shapeId="0">
      <text>
        <t>7 Aug to 30 Nov.
NOT 31 Dec. Collected revenue means contracts must be
active and billing by 1 December, so signatures close 30 Nov.
This costs you a full month versus an exit-run-rate target.</t>
      </text>
    </comment>
    <comment ref="C38" authorId="0" shapeId="0">
      <text>
        <t>Model uses 20% because the signal matrix filters FOR mobile-reachable owners.</t>
      </text>
    </comment>
    <comment ref="C39" authorId="0" shapeId="0">
      <text>
        <t>RISKIEST ASSUMPTION. Near top quartile. Unproven until the pilot.</t>
      </text>
    </comment>
    <comment ref="C40" authorId="0" shapeId="0">
      <text>
        <t>A guess. Measure it.</t>
      </text>
    </comment>
    <comment ref="C41" authorId="0" shapeId="0">
      <text>
        <t>Barbell blends a mid-market band (20-28%) with a faster fast-tier.
27% assumes the fast tier closes near the top of its band.</t>
      </text>
    </comment>
    <comment ref="C45" authorId="0" shapeId="0">
      <text>
        <t>B2B Meta CPL averages $63.40; qualified B2B leads $150-250.
Your account shows $1.21 CPL, but that came from a DIFFERENT
campaign ('Leads offer'), not the AI receptionist offer.
The two AI receptionist campaigns never spent anything.
Do NOT model on $1.21.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4" customWidth="1" min="3" max="3"/>
    <col width="13" customWidth="1" min="4" max="4"/>
    <col width="13" customWidth="1" min="5" max="5"/>
    <col width="60" customWidth="1" min="6" max="6"/>
  </cols>
  <sheetData>
    <row r="2">
      <c r="B2" s="1" t="inlineStr">
        <is>
          <t>Leep AI — $50K Collected in December 2026</t>
        </is>
      </c>
    </row>
    <row r="3">
      <c r="B3" s="2" t="inlineStr">
        <is>
          <t>Up-market, multi-channel model. Supersedes the exit-run-rate model in 50k-mrr-funnel-model.xlsx</t>
        </is>
      </c>
    </row>
    <row r="5">
      <c r="B5" s="3" t="inlineStr">
        <is>
          <t>EDIT ONLY THE YELLOW CELLS. Blue text = input. Black = formula. Green = pulled from another sheet.</t>
        </is>
      </c>
    </row>
    <row r="7">
      <c r="B7" s="4" t="inlineStr">
        <is>
          <t>THE GOAL</t>
        </is>
      </c>
    </row>
    <row r="8">
      <c r="B8" s="5" t="inlineStr">
        <is>
          <t>Input</t>
        </is>
      </c>
      <c r="C8" s="5" t="inlineStr">
        <is>
          <t>Value</t>
        </is>
      </c>
      <c r="F8" s="5" t="inlineStr">
        <is>
          <t>Source / note</t>
        </is>
      </c>
    </row>
    <row r="9">
      <c r="B9" s="6" t="inlineStr">
        <is>
          <t>Target COLLECTED revenue, December</t>
        </is>
      </c>
      <c r="C9" s="7" t="n">
        <v>50000</v>
      </c>
      <c r="F9" s="8" t="inlineStr">
        <is>
          <t>Collected, not exit run-rate. Contracts must be billing by 1 Dec.</t>
        </is>
      </c>
    </row>
    <row r="10">
      <c r="B10" s="6" t="inlineStr">
        <is>
          <t>Current MRR</t>
        </is>
      </c>
      <c r="C10" s="7" t="n">
        <v>3500</v>
      </c>
      <c r="F10" s="8" t="inlineStr">
        <is>
          <t>Aaron: $3-4K/mo. Midpoint used.</t>
        </is>
      </c>
    </row>
    <row r="11">
      <c r="B11" s="3" t="inlineStr">
        <is>
          <t>Incremental MRR required</t>
        </is>
      </c>
      <c r="C11" s="9">
        <f>MAX(0,C9-C10)</f>
        <v/>
      </c>
    </row>
    <row r="12">
      <c r="B12" s="3" t="inlineStr">
        <is>
          <t>Months to the SIGNATURE deadline</t>
        </is>
      </c>
      <c r="C12" s="10" t="n">
        <v>3.8</v>
      </c>
      <c r="F12" s="11" t="inlineStr">
        <is>
          <t>30 Nov, not 31 Dec. Collected revenue needs contracts billing by 1 Dec.</t>
        </is>
      </c>
    </row>
    <row r="14">
      <c r="B14" s="4" t="inlineStr">
        <is>
          <t>DEAL ECONOMICS — BARBELL: two segments</t>
        </is>
      </c>
    </row>
    <row r="15">
      <c r="B15" s="2" t="inlineStr">
        <is>
          <t>Group tier carries the revenue. Fast tier de-risks the 30 Nov deadline with a shorter cycle.</t>
        </is>
      </c>
    </row>
    <row r="16">
      <c r="B16" s="5" t="inlineStr">
        <is>
          <t>Input</t>
        </is>
      </c>
      <c r="C16" s="5" t="inlineStr">
        <is>
          <t>Value</t>
        </is>
      </c>
      <c r="F16" s="5" t="inlineStr">
        <is>
          <t>Source / note</t>
        </is>
      </c>
    </row>
    <row r="17">
      <c r="B17" s="6" t="inlineStr">
        <is>
          <t>GROUP tier — customers</t>
        </is>
      </c>
      <c r="C17" s="12" t="n">
        <v>5</v>
      </c>
      <c r="F17" s="8" t="inlineStr">
        <is>
          <t>3-8 location med spa groups. 30-90 day cycle.</t>
        </is>
      </c>
    </row>
    <row r="18">
      <c r="B18" s="6" t="inlineStr">
        <is>
          <t>GROUP tier — ACV per month</t>
        </is>
      </c>
      <c r="C18" s="7" t="n">
        <v>4500</v>
      </c>
      <c r="F18" s="8" t="inlineStr">
        <is>
          <t>Below the mid-market agency floor of $5,000 with more scope.</t>
        </is>
      </c>
    </row>
    <row r="19">
      <c r="B19" s="6" t="inlineStr">
        <is>
          <t>FAST tier — customers</t>
        </is>
      </c>
      <c r="C19" s="12" t="n">
        <v>12</v>
      </c>
      <c r="F19" s="8" t="inlineStr">
        <is>
          <t>Single-location HVAC, plumbing LEADERS only, med spa $1.5M+. 14-45 day cycle.</t>
        </is>
      </c>
    </row>
    <row r="20">
      <c r="B20" s="6" t="inlineStr">
        <is>
          <t>FAST tier — ACV per month</t>
        </is>
      </c>
      <c r="C20" s="7" t="n">
        <v>2000</v>
      </c>
      <c r="F20" s="8" t="inlineStr">
        <is>
          <t>Month-to-month, one decision maker, runs in their existing stack.</t>
        </is>
      </c>
    </row>
    <row r="21">
      <c r="B21" s="3" t="inlineStr">
        <is>
          <t>Total customers</t>
        </is>
      </c>
      <c r="C21" s="13">
        <f>C17+C19</f>
        <v/>
      </c>
    </row>
    <row r="22">
      <c r="B22" s="3" t="inlineStr">
        <is>
          <t>New MRR from both tiers</t>
        </is>
      </c>
      <c r="C22" s="9">
        <f>C17*C18+C19*C20</f>
        <v/>
      </c>
    </row>
    <row r="23">
      <c r="B23" s="3" t="inlineStr">
        <is>
          <t>Blended ACV per month</t>
        </is>
      </c>
      <c r="C23" s="14">
        <f>IF(C21&lt;=0,0,C22/C21)</f>
        <v/>
      </c>
    </row>
    <row r="24">
      <c r="B24" s="6" t="inlineStr">
        <is>
          <t>Gross margin</t>
        </is>
      </c>
      <c r="C24" s="15" t="n">
        <v>0.65</v>
      </c>
    </row>
    <row r="25">
      <c r="B25" s="3" t="inlineStr">
        <is>
          <t>Covers the gap?</t>
        </is>
      </c>
      <c r="C25" s="16">
        <f>IF(C22&gt;=C11,"YES","SHORT")</f>
        <v/>
      </c>
    </row>
    <row r="26">
      <c r="B26" s="3" t="inlineStr">
        <is>
          <t>Projected December collected</t>
        </is>
      </c>
      <c r="C26" s="9">
        <f>C10+C22</f>
        <v/>
      </c>
    </row>
    <row r="28">
      <c r="B28" s="4" t="inlineStr">
        <is>
          <t>CHANNEL MIX — how the customers are sourced</t>
        </is>
      </c>
    </row>
    <row r="29">
      <c r="B29" s="5" t="inlineStr">
        <is>
          <t>Channel</t>
        </is>
      </c>
      <c r="C29" s="5" t="inlineStr">
        <is>
          <t>Customers</t>
        </is>
      </c>
      <c r="F29" s="5" t="inlineStr">
        <is>
          <t>Rationale</t>
        </is>
      </c>
    </row>
    <row r="30">
      <c r="B30" s="6" t="inlineStr">
        <is>
          <t>From outbound</t>
        </is>
      </c>
      <c r="C30" s="12" t="n">
        <v>9</v>
      </c>
      <c r="F30" s="8" t="inlineStr">
        <is>
          <t>Proven, controllable. Does not depend on unvalidated CPL.</t>
        </is>
      </c>
    </row>
    <row r="31">
      <c r="B31" s="6" t="inlineStr">
        <is>
          <t>From paid ads</t>
        </is>
      </c>
      <c r="C31" s="12" t="n">
        <v>5</v>
      </c>
      <c r="F31" s="8" t="inlineStr">
        <is>
          <t>Real upside, sub-month payback, but only $303 of history. Gate the spend.</t>
        </is>
      </c>
    </row>
    <row r="32">
      <c r="B32" s="6" t="inlineStr">
        <is>
          <t>From referral / existing base</t>
        </is>
      </c>
      <c r="C32" s="12" t="n">
        <v>3</v>
      </c>
      <c r="F32" s="8" t="inlineStr">
        <is>
          <t>Cheapest revenue available and currently unassigned to anyone.</t>
        </is>
      </c>
    </row>
    <row r="33">
      <c r="B33" s="3" t="inlineStr">
        <is>
          <t>Total sourced</t>
        </is>
      </c>
      <c r="C33" s="17">
        <f>SUM(C30:C32)</f>
        <v/>
      </c>
    </row>
    <row r="34">
      <c r="B34" s="3" t="inlineStr">
        <is>
          <t>Matches total customers?</t>
        </is>
      </c>
      <c r="C34" s="16">
        <f>IF(C33&gt;=C21,"COVERED","SHORT")</f>
        <v/>
      </c>
    </row>
    <row r="36">
      <c r="B36" s="4" t="inlineStr">
        <is>
          <t>OUTBOUND CONVERSION RATES</t>
        </is>
      </c>
    </row>
    <row r="37">
      <c r="B37" s="5" t="inlineStr">
        <is>
          <t>Stage</t>
        </is>
      </c>
      <c r="C37" s="5" t="inlineStr">
        <is>
          <t>Model</t>
        </is>
      </c>
      <c r="D37" s="5" t="inlineStr">
        <is>
          <t>Bench avg</t>
        </is>
      </c>
      <c r="E37" s="5" t="inlineStr">
        <is>
          <t>Top qtile</t>
        </is>
      </c>
      <c r="F37" s="5" t="inlineStr">
        <is>
          <t>Source</t>
        </is>
      </c>
    </row>
    <row r="38">
      <c r="B38" s="6" t="inlineStr">
        <is>
          <t>Dial to live connect</t>
        </is>
      </c>
      <c r="C38" s="15" t="n">
        <v>0.2</v>
      </c>
      <c r="D38" s="18" t="n">
        <v>0.1</v>
      </c>
      <c r="E38" s="18" t="n">
        <v>0.22</v>
      </c>
      <c r="F38" s="8" t="inlineStr">
        <is>
          <t>Generic data 8-12%; verified mobile direct-dial 18-22%. Gong avg 5.4%, top qtile 13.3%.</t>
        </is>
      </c>
    </row>
    <row r="39">
      <c r="B39" s="6" t="inlineStr">
        <is>
          <t>Connect to meeting (set rate)</t>
        </is>
      </c>
      <c r="C39" s="15" t="n">
        <v>0.15</v>
      </c>
      <c r="D39" s="18" t="n">
        <v>0.046</v>
      </c>
      <c r="E39" s="18" t="n">
        <v>0.167</v>
      </c>
      <c r="F39" s="8" t="inlineStr">
        <is>
          <t>Gong 300M+ calls: avg 4.6%, top quartile 16.7%.</t>
        </is>
      </c>
    </row>
    <row r="40">
      <c r="B40" s="6" t="inlineStr">
        <is>
          <t>Meeting to qualified opp</t>
        </is>
      </c>
      <c r="C40" s="15" t="n">
        <v>0.6</v>
      </c>
      <c r="D40" s="18" t="n">
        <v>0.5</v>
      </c>
      <c r="E40" s="18" t="n">
        <v>0.7</v>
      </c>
      <c r="F40" s="8" t="inlineStr">
        <is>
          <t>Not benchmarked. Signal-qualified should beat generic.</t>
        </is>
      </c>
    </row>
    <row r="41">
      <c r="B41" s="6" t="inlineStr">
        <is>
          <t>Qualified opp to close</t>
        </is>
      </c>
      <c r="C41" s="15" t="n">
        <v>0.27</v>
      </c>
      <c r="D41" s="18" t="n">
        <v>0.24</v>
      </c>
      <c r="E41" s="18" t="n">
        <v>0.35</v>
      </c>
      <c r="F41" s="8" t="inlineStr">
        <is>
          <t>$10-50K ACV: 20-28%. Sub-$10K: 28-35%. Above 40% sustained means underpriced.</t>
        </is>
      </c>
    </row>
    <row r="43">
      <c r="B43" s="4" t="inlineStr">
        <is>
          <t>PAID ADS</t>
        </is>
      </c>
    </row>
    <row r="44">
      <c r="B44" s="5" t="inlineStr">
        <is>
          <t>Input</t>
        </is>
      </c>
      <c r="C44" s="5" t="inlineStr">
        <is>
          <t>Value</t>
        </is>
      </c>
      <c r="F44" s="5" t="inlineStr">
        <is>
          <t>Source / note</t>
        </is>
      </c>
    </row>
    <row r="45">
      <c r="B45" s="6" t="inlineStr">
        <is>
          <t>Cost per lead</t>
        </is>
      </c>
      <c r="C45" s="7" t="n">
        <v>125</v>
      </c>
      <c r="F45" s="11" t="inlineStr">
        <is>
          <t>B2B avg $63.40; qualified $150-250. Your $1.21 was a different offer with instant forms.</t>
        </is>
      </c>
    </row>
    <row r="46">
      <c r="B46" s="6" t="inlineStr">
        <is>
          <t>Lead to customer conversion</t>
        </is>
      </c>
      <c r="C46" s="15" t="n">
        <v>0.05</v>
      </c>
      <c r="F46" s="8" t="inlineStr">
        <is>
          <t>Professional services 4.6% (highest B2B category). Inbound 5-10%, outbound 1-3%.</t>
        </is>
      </c>
    </row>
    <row r="47">
      <c r="B47" s="3" t="inlineStr">
        <is>
          <t>Implied CAC from ads</t>
        </is>
      </c>
      <c r="C47" s="14">
        <f>IF(C46&lt;=0,0,C45/C46)</f>
        <v/>
      </c>
    </row>
    <row r="48">
      <c r="B48" s="3" t="inlineStr">
        <is>
          <t>Payback in months of ACV</t>
        </is>
      </c>
      <c r="C48" s="19">
        <f>IF(C23&lt;=0,0,C47/C23)</f>
        <v/>
      </c>
    </row>
    <row r="50">
      <c r="B50" s="4" t="inlineStr">
        <is>
          <t>CADENCE AND CAPACITY</t>
        </is>
      </c>
    </row>
    <row r="51">
      <c r="B51" s="5" t="inlineStr">
        <is>
          <t>Input</t>
        </is>
      </c>
      <c r="C51" s="5" t="inlineStr">
        <is>
          <t>Value</t>
        </is>
      </c>
      <c r="F51" s="5" t="inlineStr">
        <is>
          <t>Source / note</t>
        </is>
      </c>
    </row>
    <row r="52">
      <c r="B52" s="6" t="inlineStr">
        <is>
          <t>Emails per prospect</t>
        </is>
      </c>
      <c r="C52" s="12" t="n">
        <v>3</v>
      </c>
      <c r="F52" s="8" t="inlineStr">
        <is>
          <t>Sweet spot is 3-4. Total cadence 8-12 touches across channels.</t>
        </is>
      </c>
    </row>
    <row r="53">
      <c r="B53" s="6" t="inlineStr">
        <is>
          <t>Written consent rate, per connect</t>
        </is>
      </c>
      <c r="C53" s="15" t="n">
        <v>0.4</v>
      </c>
      <c r="F53" s="8" t="inlineStr">
        <is>
          <t>Share of live conversations that produce a written SMS opt-in. Unmeasured.</t>
        </is>
      </c>
    </row>
    <row r="54">
      <c r="B54" s="6" t="inlineStr">
        <is>
          <t>SMS per consented prospect</t>
        </is>
      </c>
      <c r="C54" s="12" t="n">
        <v>4</v>
      </c>
    </row>
    <row r="55">
      <c r="B55" s="6" t="inlineStr">
        <is>
          <t>Number of callers</t>
        </is>
      </c>
      <c r="C55" s="12" t="n">
        <v>2</v>
      </c>
    </row>
    <row r="56">
      <c r="B56" s="6" t="inlineStr">
        <is>
          <t>Selling days per month</t>
        </is>
      </c>
      <c r="C56" s="12" t="n">
        <v>20</v>
      </c>
    </row>
    <row r="57">
      <c r="B57" s="6" t="inlineStr">
        <is>
          <t>Sustainable dials per person per day</t>
        </is>
      </c>
      <c r="C57" s="12" t="n">
        <v>40</v>
      </c>
      <c r="F57" s="8" t="inlineStr">
        <is>
          <t>Ceiling for someone who also closes and delivers. A full-time dialer does 80-100.</t>
        </is>
      </c>
    </row>
    <row r="58">
      <c r="B58" s="6" t="inlineStr">
        <is>
          <t>Gmail bulk-sender line, per day</t>
        </is>
      </c>
      <c r="C58" s="20" t="n">
        <v>5000</v>
      </c>
      <c r="F58" s="11" t="inlineStr">
        <is>
          <t>Crossing this classifies the domain as a bulk sender PERMANENTLY. Never approach it.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5" customWidth="1" min="3" max="3"/>
    <col width="15" customWidth="1" min="4" max="4"/>
    <col width="14" customWidth="1" min="5" max="5"/>
    <col width="52" customWidth="1" min="6" max="6"/>
  </cols>
  <sheetData>
    <row r="2">
      <c r="B2" s="1" t="inlineStr">
        <is>
          <t>Activity Requirements</t>
        </is>
      </c>
    </row>
    <row r="3">
      <c r="B3" s="2" t="inlineStr">
        <is>
          <t>Dials, emails and SMS needed, worked backwards from the outbound customer target.</t>
        </is>
      </c>
    </row>
    <row r="5">
      <c r="B5" s="4" t="inlineStr">
        <is>
          <t>OUTBOUND FUNNEL</t>
        </is>
      </c>
    </row>
    <row r="6">
      <c r="B6" s="5" t="inlineStr">
        <is>
          <t>Stage</t>
        </is>
      </c>
      <c r="C6" s="5" t="inlineStr">
        <is>
          <t>Per month</t>
        </is>
      </c>
      <c r="D6" s="5" t="inlineStr">
        <is>
          <t>Whole period</t>
        </is>
      </c>
      <c r="E6" s="5" t="inlineStr">
        <is>
          <t>Conv rate</t>
        </is>
      </c>
      <c r="F6" s="5" t="inlineStr">
        <is>
          <t>Note</t>
        </is>
      </c>
    </row>
    <row r="7">
      <c r="B7" s="3" t="inlineStr">
        <is>
          <t>Closes from outbound</t>
        </is>
      </c>
      <c r="C7" s="19">
        <f>IF(Assumptions!C12&lt;=0,0,Assumptions!C30/Assumptions!C12)</f>
        <v/>
      </c>
      <c r="D7" s="21">
        <f>Assumptions!C30</f>
        <v/>
      </c>
    </row>
    <row r="8">
      <c r="B8" s="6" t="inlineStr">
        <is>
          <t>Qualified opportunities</t>
        </is>
      </c>
      <c r="C8" s="22">
        <f>IF(Assumptions!C41&lt;=0,0,C7/Assumptions!C41)</f>
        <v/>
      </c>
      <c r="D8" s="17">
        <f>C8*Assumptions!C12</f>
        <v/>
      </c>
      <c r="E8" s="23">
        <f>Assumptions!C41</f>
        <v/>
      </c>
    </row>
    <row r="9">
      <c r="B9" s="6" t="inlineStr">
        <is>
          <t>Meetings booked</t>
        </is>
      </c>
      <c r="C9" s="22">
        <f>IF(Assumptions!C40&lt;=0,0,C8/Assumptions!C40)</f>
        <v/>
      </c>
      <c r="D9" s="17">
        <f>C9*Assumptions!C12</f>
        <v/>
      </c>
      <c r="E9" s="23">
        <f>Assumptions!C40</f>
        <v/>
      </c>
    </row>
    <row r="10">
      <c r="B10" s="6" t="inlineStr">
        <is>
          <t>Live connects</t>
        </is>
      </c>
      <c r="C10" s="17">
        <f>IF(Assumptions!C39&lt;=0,0,C9/Assumptions!C39)</f>
        <v/>
      </c>
      <c r="D10" s="17">
        <f>C10*Assumptions!C12</f>
        <v/>
      </c>
      <c r="E10" s="23">
        <f>Assumptions!C39</f>
        <v/>
      </c>
    </row>
    <row r="11">
      <c r="B11" s="3" t="inlineStr">
        <is>
          <t>DIALS REQUIRED</t>
        </is>
      </c>
      <c r="C11" s="13">
        <f>IF(Assumptions!C38&lt;=0,0,C10/Assumptions!C38)</f>
        <v/>
      </c>
      <c r="D11" s="17">
        <f>C11*Assumptions!C12</f>
        <v/>
      </c>
      <c r="E11" s="23">
        <f>Assumptions!C38</f>
        <v/>
      </c>
    </row>
    <row r="13">
      <c r="B13" s="4" t="inlineStr">
        <is>
          <t>CHANNEL VOLUMES</t>
        </is>
      </c>
    </row>
    <row r="14">
      <c r="B14" s="5" t="inlineStr">
        <is>
          <t>Channel</t>
        </is>
      </c>
      <c r="C14" s="5" t="inlineStr">
        <is>
          <t>Per month</t>
        </is>
      </c>
      <c r="D14" s="5" t="inlineStr">
        <is>
          <t>Per day</t>
        </is>
      </c>
      <c r="E14" s="5" t="inlineStr">
        <is>
          <t>Limit</t>
        </is>
      </c>
      <c r="F14" s="5" t="inlineStr">
        <is>
          <t>Status</t>
        </is>
      </c>
    </row>
    <row r="15">
      <c r="B15" s="6" t="inlineStr">
        <is>
          <t>Dials</t>
        </is>
      </c>
      <c r="C15" s="17">
        <f>C11</f>
        <v/>
      </c>
      <c r="D15" s="17">
        <f>IF(Assumptions!C56&lt;=0,0,C15/Assumptions!C56)</f>
        <v/>
      </c>
      <c r="E15" s="21">
        <f>Assumptions!C57*Assumptions!C55</f>
        <v/>
      </c>
      <c r="F15" s="16">
        <f>IF(D15&lt;=E15,"OK","OVER CAPACITY")</f>
        <v/>
      </c>
    </row>
    <row r="16">
      <c r="B16" s="6" t="inlineStr">
        <is>
          <t xml:space="preserve">  dials per person per day</t>
        </is>
      </c>
      <c r="C16" s="24" t="inlineStr"/>
      <c r="D16" s="17">
        <f>IF(Assumptions!C55&lt;=0,0,D15/Assumptions!C55)</f>
        <v/>
      </c>
      <c r="E16" s="21">
        <f>Assumptions!C57</f>
        <v/>
      </c>
      <c r="F16" s="25">
        <f>IF(D16&lt;=E16,"OK","OVER CAPACITY")</f>
        <v/>
      </c>
    </row>
    <row r="17">
      <c r="B17" s="6" t="inlineStr">
        <is>
          <t>Emails</t>
        </is>
      </c>
      <c r="C17" s="17">
        <f>C11*Assumptions!C52</f>
        <v/>
      </c>
      <c r="D17" s="17">
        <f>IF(Assumptions!C56&lt;=0,0,C17/Assumptions!C56)</f>
        <v/>
      </c>
      <c r="E17" s="21">
        <f>Assumptions!C58</f>
        <v/>
      </c>
      <c r="F17" s="16">
        <f>IF(D17&lt;=E17,"OK","BULK SENDER RISK")</f>
        <v/>
      </c>
    </row>
    <row r="18">
      <c r="B18" s="6" t="inlineStr">
        <is>
          <t>Consented prospects</t>
        </is>
      </c>
      <c r="C18" s="17">
        <f>C10*Assumptions!C53</f>
        <v/>
      </c>
      <c r="F18" s="8" t="inlineStr">
        <is>
          <t>Written opt-in captured after a live call. The SMS gate.</t>
        </is>
      </c>
    </row>
    <row r="19">
      <c r="B19" s="6" t="inlineStr">
        <is>
          <t>SMS</t>
        </is>
      </c>
      <c r="C19" s="17">
        <f>C18*Assumptions!C54</f>
        <v/>
      </c>
      <c r="D19" s="17">
        <f>IF(Assumptions!C56&lt;=0,0,C19/Assumptions!C56)</f>
        <v/>
      </c>
      <c r="F19" s="8" t="inlineStr">
        <is>
          <t>Consented only. Zero TCPA exposure. ~45% response vs ~6% for email.</t>
        </is>
      </c>
    </row>
    <row r="21">
      <c r="B21" s="4" t="inlineStr">
        <is>
          <t>EXPECTED RESPONSES</t>
        </is>
      </c>
    </row>
    <row r="22">
      <c r="B22" s="5" t="inlineStr">
        <is>
          <t>Channel</t>
        </is>
      </c>
      <c r="C22" s="5" t="inlineStr">
        <is>
          <t>Volume/mo</t>
        </is>
      </c>
      <c r="D22" s="5" t="inlineStr">
        <is>
          <t>Rate</t>
        </is>
      </c>
      <c r="E22" s="5" t="inlineStr">
        <is>
          <t>Responses/mo</t>
        </is>
      </c>
      <c r="F22" s="5" t="inlineStr">
        <is>
          <t>Source</t>
        </is>
      </c>
    </row>
    <row r="23">
      <c r="B23" s="6" t="inlineStr">
        <is>
          <t>Email replies</t>
        </is>
      </c>
      <c r="C23" s="17">
        <f>C17</f>
        <v/>
      </c>
      <c r="D23" s="15" t="n">
        <v>0.0343</v>
      </c>
      <c r="E23" s="17">
        <f>C23*D23</f>
        <v/>
      </c>
      <c r="F23" s="8" t="inlineStr">
        <is>
          <t>2026 B2B cold email: 27.7% open, 3.43% reply. Above 5% beats most senders.</t>
        </is>
      </c>
    </row>
    <row r="24">
      <c r="B24" s="6" t="inlineStr">
        <is>
          <t>SMS responses</t>
        </is>
      </c>
      <c r="C24" s="17">
        <f>C19</f>
        <v/>
      </c>
      <c r="D24" s="15" t="n">
        <v>0.45</v>
      </c>
      <c r="E24" s="17">
        <f>C24*D24</f>
        <v/>
      </c>
      <c r="F24" s="8" t="inlineStr">
        <is>
          <t>Opted-in SMS averages ~45%. Qualifying questions reach 92%.</t>
        </is>
      </c>
    </row>
    <row r="26">
      <c r="B26" s="26" t="inlineStr">
        <is>
          <t>Note: SMS is a fraction of email volume and produces comparable response counts. That is why the consent gate is an asset, not a tax.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5" customWidth="1" min="3" max="3"/>
    <col width="15" customWidth="1" min="4" max="4"/>
    <col width="15" customWidth="1" min="5" max="5"/>
    <col width="54" customWidth="1" min="6" max="6"/>
  </cols>
  <sheetData>
    <row r="2">
      <c r="B2" s="1" t="inlineStr">
        <is>
          <t>Paid Ads — Reverse-Engineered Spend</t>
        </is>
      </c>
    </row>
    <row r="3">
      <c r="B3" s="2" t="inlineStr">
        <is>
          <t>Modelled on B2B benchmarks, NOT on the account's historical $1.21 CPL. See the warning below.</t>
        </is>
      </c>
    </row>
    <row r="5">
      <c r="B5" s="4" t="inlineStr">
        <is>
          <t>YOUR ACTUAL ACCOUNT — pulled 7 Aug 2026, account 1819763081734046</t>
        </is>
      </c>
    </row>
    <row r="6">
      <c r="B6" s="5" t="inlineStr">
        <is>
          <t>Metric</t>
        </is>
      </c>
      <c r="C6" s="5" t="inlineStr">
        <is>
          <t>Your account</t>
        </is>
      </c>
      <c r="D6" s="5" t="inlineStr">
        <is>
          <t>B2B benchmark</t>
        </is>
      </c>
      <c r="F6" s="5" t="inlineStr">
        <is>
          <t>Read</t>
        </is>
      </c>
    </row>
    <row r="7">
      <c r="B7" s="27" t="inlineStr">
        <is>
          <t>Total spend, all time</t>
        </is>
      </c>
      <c r="C7" s="25" t="inlineStr">
        <is>
          <t>$303.02</t>
        </is>
      </c>
      <c r="D7" s="27" t="inlineStr">
        <is>
          <t>-</t>
        </is>
      </c>
      <c r="F7" s="8" t="inlineStr">
        <is>
          <t>A test, not a programme</t>
        </is>
      </c>
    </row>
    <row r="8">
      <c r="B8" s="28" t="inlineStr">
        <is>
          <t>Campaigns</t>
        </is>
      </c>
      <c r="C8" s="29" t="inlineStr">
        <is>
          <t>3, ALL PAUSED</t>
        </is>
      </c>
      <c r="D8" s="28" t="inlineStr">
        <is>
          <t>-</t>
        </is>
      </c>
      <c r="F8" s="30" t="inlineStr">
        <is>
          <t>Nothing is running today</t>
        </is>
      </c>
    </row>
    <row r="9">
      <c r="B9" s="31" t="inlineStr">
        <is>
          <t>CTR</t>
        </is>
      </c>
      <c r="C9" s="32" t="inlineStr">
        <is>
          <t>5.31%</t>
        </is>
      </c>
      <c r="D9" s="31" t="inlineStr">
        <is>
          <t>~1%</t>
        </is>
      </c>
      <c r="F9" s="33" t="inlineStr">
        <is>
          <t>GENUINELY EXCELLENT. The hook works</t>
        </is>
      </c>
    </row>
    <row r="10">
      <c r="B10" s="27" t="inlineStr">
        <is>
          <t>CPC</t>
        </is>
      </c>
      <c r="C10" s="25" t="inlineStr">
        <is>
          <t>$0.40</t>
        </is>
      </c>
      <c r="D10" s="27" t="inlineStr">
        <is>
          <t>$2.96 avg search</t>
        </is>
      </c>
      <c r="F10" s="8" t="inlineStr">
        <is>
          <t>Cheap traffic</t>
        </is>
      </c>
    </row>
    <row r="11">
      <c r="B11" s="27" t="inlineStr">
        <is>
          <t>CPM</t>
        </is>
      </c>
      <c r="C11" s="25" t="inlineStr">
        <is>
          <t>$21.10</t>
        </is>
      </c>
      <c r="D11" s="27" t="inlineStr">
        <is>
          <t>-</t>
        </is>
      </c>
      <c r="F11" s="8" t="inlineStr">
        <is>
          <t>Reasonable</t>
        </is>
      </c>
    </row>
    <row r="12">
      <c r="B12" s="27" t="inlineStr">
        <is>
          <t>Leads</t>
        </is>
      </c>
      <c r="C12" s="25" t="inlineStr">
        <is>
          <t>251</t>
        </is>
      </c>
      <c r="D12" s="27" t="inlineStr">
        <is>
          <t>-</t>
        </is>
      </c>
      <c r="F12" s="8" t="inlineStr">
        <is>
          <t>763 clicks to 251 leads = 33%, an instant-form signature</t>
        </is>
      </c>
    </row>
    <row r="13">
      <c r="B13" s="28" t="inlineStr">
        <is>
          <t>Cost per lead</t>
        </is>
      </c>
      <c r="C13" s="29" t="inlineStr">
        <is>
          <t>$1.21</t>
        </is>
      </c>
      <c r="D13" s="28" t="inlineStr">
        <is>
          <t>$63.40 B2B</t>
        </is>
      </c>
      <c r="F13" s="30" t="inlineStr">
        <is>
          <t>52x below benchmark. Different offer entirely</t>
        </is>
      </c>
    </row>
    <row r="15">
      <c r="B15" s="34" t="inlineStr">
        <is>
          <t>CRITICAL: the $1.21 CPL came from a campaign named 'Leads offer', not from the AI receptionist offer.</t>
        </is>
      </c>
    </row>
    <row r="16">
      <c r="B16" s="11" t="inlineStr">
        <is>
          <t>The two campaigns matching this business - 'AI Receptionist VSL - Automotive' and 'automotive ads V2' - have ZERO recorded spend.</t>
        </is>
      </c>
    </row>
    <row r="17">
      <c r="B17" s="11" t="inlineStr">
        <is>
          <t>There is no validated cost-per-lead for the offer you intend to scale. Model at $125-200 and be delighted to beat it.</t>
        </is>
      </c>
    </row>
    <row r="19">
      <c r="B19" s="4" t="inlineStr">
        <is>
          <t>UNIT ECONOMICS</t>
        </is>
      </c>
    </row>
    <row r="20">
      <c r="B20" s="5" t="inlineStr">
        <is>
          <t>Scenario</t>
        </is>
      </c>
      <c r="C20" s="5" t="inlineStr">
        <is>
          <t>CPL</t>
        </is>
      </c>
      <c r="D20" s="5" t="inlineStr">
        <is>
          <t>Lead to cust</t>
        </is>
      </c>
      <c r="E20" s="5" t="inlineStr">
        <is>
          <t>CAC</t>
        </is>
      </c>
      <c r="F20" s="5" t="inlineStr">
        <is>
          <t>Payback, months of ACV</t>
        </is>
      </c>
    </row>
    <row r="21">
      <c r="B21" s="25" t="inlineStr">
        <is>
          <t>Conservative</t>
        </is>
      </c>
      <c r="C21" s="7" t="n">
        <v>200</v>
      </c>
      <c r="D21" s="15" t="n">
        <v>0.03</v>
      </c>
      <c r="E21" s="14">
        <f>IF(D21&lt;=0,0,C21/D21)</f>
        <v/>
      </c>
      <c r="F21" s="22">
        <f>IF(Assumptions!$C$23&lt;=0,0,E21/Assumptions!$C$23)</f>
        <v/>
      </c>
    </row>
    <row r="22">
      <c r="B22" s="32" t="inlineStr">
        <is>
          <t>BASE</t>
        </is>
      </c>
      <c r="C22" s="7" t="n">
        <v>125</v>
      </c>
      <c r="D22" s="15" t="n">
        <v>0.05</v>
      </c>
      <c r="E22" s="9">
        <f>IF(D22&lt;=0,0,C22/D22)</f>
        <v/>
      </c>
      <c r="F22" s="19">
        <f>IF(Assumptions!$C$23&lt;=0,0,E22/Assumptions!$C$23)</f>
        <v/>
      </c>
    </row>
    <row r="23">
      <c r="B23" s="25" t="inlineStr">
        <is>
          <t>Optimistic</t>
        </is>
      </c>
      <c r="C23" s="7" t="n">
        <v>63</v>
      </c>
      <c r="D23" s="15" t="n">
        <v>0.07000000000000001</v>
      </c>
      <c r="E23" s="14">
        <f>IF(D23&lt;=0,0,C23/D23)</f>
        <v/>
      </c>
      <c r="F23" s="22">
        <f>IF(Assumptions!$C$23&lt;=0,0,E23/Assumptions!$C$23)</f>
        <v/>
      </c>
    </row>
    <row r="25">
      <c r="B25" s="4" t="inlineStr">
        <is>
          <t>SPEND REQUIRED</t>
        </is>
      </c>
    </row>
    <row r="26">
      <c r="B26" s="5" t="inlineStr">
        <is>
          <t>Customers from ads</t>
        </is>
      </c>
      <c r="C26" s="5" t="inlineStr">
        <is>
          <t>Leads needed</t>
        </is>
      </c>
      <c r="D26" s="5" t="inlineStr">
        <is>
          <t>Spend at base CPL</t>
        </is>
      </c>
      <c r="E26" s="5" t="inlineStr">
        <is>
          <t>Spend at $200 CPL</t>
        </is>
      </c>
      <c r="F26" s="5" t="inlineStr">
        <is>
          <t>Note</t>
        </is>
      </c>
    </row>
    <row r="27">
      <c r="B27" s="20" t="n">
        <v>3</v>
      </c>
      <c r="C27" s="17">
        <f>IF(Assumptions!$C$46&lt;=0,0,B27/Assumptions!$C$46)</f>
        <v/>
      </c>
      <c r="D27" s="14">
        <f>C27*Assumptions!$C$45</f>
        <v/>
      </c>
      <c r="E27" s="14">
        <f>C27*200</f>
        <v/>
      </c>
    </row>
    <row r="28">
      <c r="B28" s="35" t="n">
        <v>4</v>
      </c>
      <c r="C28" s="13">
        <f>IF(Assumptions!$C$46&lt;=0,0,B28/Assumptions!$C$46)</f>
        <v/>
      </c>
      <c r="D28" s="9">
        <f>C28*Assumptions!$C$45</f>
        <v/>
      </c>
      <c r="E28" s="9">
        <f>C28*200</f>
        <v/>
      </c>
      <c r="F28" s="36" t="inlineStr">
        <is>
          <t>&lt;&lt; Planned channel mix</t>
        </is>
      </c>
    </row>
    <row r="29">
      <c r="B29" s="20" t="n">
        <v>6</v>
      </c>
      <c r="C29" s="17">
        <f>IF(Assumptions!$C$46&lt;=0,0,B29/Assumptions!$C$46)</f>
        <v/>
      </c>
      <c r="D29" s="14">
        <f>C29*Assumptions!$C$45</f>
        <v/>
      </c>
      <c r="E29" s="14">
        <f>C29*200</f>
        <v/>
      </c>
    </row>
    <row r="30">
      <c r="B30" s="20" t="n">
        <v>9</v>
      </c>
      <c r="C30" s="17">
        <f>IF(Assumptions!$C$46&lt;=0,0,B30/Assumptions!$C$46)</f>
        <v/>
      </c>
      <c r="D30" s="14">
        <f>C30*Assumptions!$C$45</f>
        <v/>
      </c>
      <c r="E30" s="14">
        <f>C30*200</f>
        <v/>
      </c>
    </row>
    <row r="31">
      <c r="B31" s="20" t="n">
        <v>12</v>
      </c>
      <c r="C31" s="17">
        <f>IF(Assumptions!$C$46&lt;=0,0,B31/Assumptions!$C$46)</f>
        <v/>
      </c>
      <c r="D31" s="14">
        <f>C31*Assumptions!$C$45</f>
        <v/>
      </c>
      <c r="E31" s="14">
        <f>C31*200</f>
        <v/>
      </c>
      <c r="F31" s="8" t="inlineStr">
        <is>
          <t>All from ads. Do not bet the quarter on an unvalidated channel</t>
        </is>
      </c>
    </row>
    <row r="33">
      <c r="B33" s="3" t="inlineStr">
        <is>
          <t>Planned total ad spend</t>
        </is>
      </c>
      <c r="C33" s="9">
        <f>IF(Assumptions!C46&lt;=0,0,Assumptions!C31/Assumptions!C46*Assumptions!C45)</f>
        <v/>
      </c>
    </row>
    <row r="34">
      <c r="B34" s="3" t="inlineStr">
        <is>
          <t>Planned monthly ad spend</t>
        </is>
      </c>
      <c r="C34" s="9">
        <f>IF(Assumptions!C12&lt;=0,0,C33/Assumptions!C12)</f>
        <v/>
      </c>
    </row>
    <row r="36">
      <c r="B36" s="4" t="inlineStr">
        <is>
          <t>STAGED ROLLOUT — gate the spend</t>
        </is>
      </c>
    </row>
    <row r="37">
      <c r="B37" s="5" t="inlineStr">
        <is>
          <t>Stage</t>
        </is>
      </c>
      <c r="C37" s="5" t="inlineStr">
        <is>
          <t>Spend</t>
        </is>
      </c>
      <c r="D37" s="5" t="inlineStr">
        <is>
          <t>Purpose</t>
        </is>
      </c>
      <c r="F37" s="5" t="inlineStr">
        <is>
          <t>Gate to proceed</t>
        </is>
      </c>
    </row>
    <row r="38" ht="32" customHeight="1">
      <c r="B38" s="25" t="inlineStr">
        <is>
          <t>Validate (Aug)</t>
        </is>
      </c>
      <c r="C38" s="37" t="n">
        <v>1500</v>
      </c>
      <c r="D38" s="38" t="inlineStr">
        <is>
          <t>Restart the AI Receptionist campaigns that never spent. Prove CPL for the REAL offer</t>
        </is>
      </c>
      <c r="F38" s="8" t="inlineStr">
        <is>
          <t>CPL under $200 AND at least 1 booked meeting from 12 leads</t>
        </is>
      </c>
    </row>
    <row r="39" ht="32" customHeight="1">
      <c r="B39" s="25" t="inlineStr">
        <is>
          <t>Calibrate (Sep)</t>
        </is>
      </c>
      <c r="C39" s="37" t="n">
        <v>3000</v>
      </c>
      <c r="D39" s="38" t="inlineStr">
        <is>
          <t>Test offer angles and audiences. Measure lead-to-meeting, not just CPL</t>
        </is>
      </c>
      <c r="F39" s="8" t="inlineStr">
        <is>
          <t>Lead to meeting above 10%</t>
        </is>
      </c>
    </row>
    <row r="40" ht="32" customHeight="1">
      <c r="B40" s="25" t="inlineStr">
        <is>
          <t>Scale (Oct-Nov)</t>
        </is>
      </c>
      <c r="C40" s="37" t="n">
        <v>4000</v>
      </c>
      <c r="D40" s="38" t="inlineStr">
        <is>
          <t>Push spend on the winner, monthly</t>
        </is>
      </c>
      <c r="F40" s="8" t="inlineStr">
        <is>
          <t>CAC under 1.5 months of ACV</t>
        </is>
      </c>
    </row>
    <row r="41" ht="32" customHeight="1">
      <c r="B41" s="25" t="inlineStr">
        <is>
          <t>Retargeting (throughout)</t>
        </is>
      </c>
      <c r="C41" s="39" t="inlineStr">
        <is>
          <t>~15%</t>
        </is>
      </c>
      <c r="D41" s="38" t="inlineStr">
        <is>
          <t>Run ads AT the outbound list. Warms every dial</t>
        </is>
      </c>
      <c r="F41" s="8" t="inlineStr">
        <is>
          <t>~15% of total spend</t>
        </is>
      </c>
    </row>
    <row r="43">
      <c r="B43" s="26" t="inlineStr">
        <is>
          <t>Highest-leverage play: retarget the outbound list. Multi-channel sequences beat single-channel by 3-4x; email plus phone lifts engagement 287%.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40" customWidth="1" min="3" max="3"/>
    <col width="16" customWidth="1" min="4" max="4"/>
    <col width="16" customWidth="1" min="5" max="5"/>
    <col width="40" customWidth="1" min="6" max="6"/>
  </cols>
  <sheetData>
    <row r="2">
      <c r="B2" s="1" t="inlineStr">
        <is>
          <t>Up-Market Pricing vs Competition</t>
        </is>
      </c>
    </row>
    <row r="3">
      <c r="B3" s="2" t="inlineStr">
        <is>
          <t>You are underpriced against your own client size, not against AI tools.</t>
        </is>
      </c>
    </row>
    <row r="5">
      <c r="B5" s="4" t="inlineStr">
        <is>
          <t>THE COMPETITIVE SET — what a 5-location med spa group pays today</t>
        </is>
      </c>
    </row>
    <row r="6">
      <c r="B6" s="5" t="inlineStr">
        <is>
          <t>Who</t>
        </is>
      </c>
      <c r="C6" s="5" t="inlineStr">
        <is>
          <t>What they deliver</t>
        </is>
      </c>
      <c r="D6" s="5" t="inlineStr">
        <is>
          <t>Low</t>
        </is>
      </c>
      <c r="E6" s="5" t="inlineStr">
        <is>
          <t>High</t>
        </is>
      </c>
      <c r="F6" s="5" t="inlineStr">
        <is>
          <t>Source</t>
        </is>
      </c>
    </row>
    <row r="7">
      <c r="B7" s="27" t="inlineStr">
        <is>
          <t>Self-serve AI tools</t>
        </is>
      </c>
      <c r="C7" s="40" t="inlineStr">
        <is>
          <t>One AI receptionist, DIY setup</t>
        </is>
      </c>
      <c r="D7" s="37" t="n">
        <v>25</v>
      </c>
      <c r="E7" s="37" t="n">
        <v>95</v>
      </c>
      <c r="F7" s="8" t="inlineStr">
        <is>
          <t>cloudtalk.io, voksha.com</t>
        </is>
      </c>
    </row>
    <row r="8">
      <c r="B8" s="27" t="inlineStr">
        <is>
          <t>Voice AI resellers</t>
        </is>
      </c>
      <c r="C8" s="40" t="inlineStr">
        <is>
          <t>AI receptionist, per location</t>
        </is>
      </c>
      <c r="D8" s="37" t="n">
        <v>295</v>
      </c>
      <c r="E8" s="37" t="n">
        <v>595</v>
      </c>
      <c r="F8" s="8" t="inlineStr">
        <is>
          <t>trillet.ai</t>
        </is>
      </c>
    </row>
    <row r="9">
      <c r="B9" s="27" t="inlineStr">
        <is>
          <t>Voice AI, multi-location</t>
        </is>
      </c>
      <c r="C9" s="40" t="inlineStr">
        <is>
          <t>Receptionist across sites</t>
        </is>
      </c>
      <c r="D9" s="37" t="n">
        <v>750</v>
      </c>
      <c r="E9" s="37" t="n">
        <v>1200</v>
      </c>
      <c r="F9" s="8" t="inlineStr">
        <is>
          <t>trillet.ai</t>
        </is>
      </c>
    </row>
    <row r="10">
      <c r="B10" s="27" t="inlineStr">
        <is>
          <t>Managed voice, high-ticket</t>
        </is>
      </c>
      <c r="C10" s="40" t="inlineStr">
        <is>
          <t>Managed outbound programme</t>
        </is>
      </c>
      <c r="D10" s="37" t="n">
        <v>797</v>
      </c>
      <c r="E10" s="37" t="n">
        <v>1497</v>
      </c>
      <c r="F10" s="8" t="inlineStr">
        <is>
          <t>ringlyn.com</t>
        </is>
      </c>
    </row>
    <row r="11">
      <c r="B11" s="41" t="inlineStr">
        <is>
          <t>Multi-location SEO specialist</t>
        </is>
      </c>
      <c r="C11" s="42" t="inlineStr">
        <is>
          <t>SEO only, comprehensive</t>
        </is>
      </c>
      <c r="D11" s="43" t="n">
        <v>3000</v>
      </c>
      <c r="E11" s="43" t="n">
        <v>6000</v>
      </c>
      <c r="F11" s="44" t="inlineStr">
        <is>
          <t>clicksgeek.com</t>
        </is>
      </c>
    </row>
    <row r="12">
      <c r="B12" s="41" t="inlineStr">
        <is>
          <t>Mid-market agency</t>
        </is>
      </c>
      <c r="C12" s="42" t="inlineStr">
        <is>
          <t>SEO + content + paid. NO AI</t>
        </is>
      </c>
      <c r="D12" s="43" t="n">
        <v>5000</v>
      </c>
      <c r="E12" s="43" t="n">
        <v>15000</v>
      </c>
      <c r="F12" s="44" t="inlineStr">
        <is>
          <t>fbd.agency</t>
        </is>
      </c>
    </row>
    <row r="13">
      <c r="B13" s="27" t="inlineStr">
        <is>
          <t>Enterprise agency</t>
        </is>
      </c>
      <c r="C13" s="40" t="inlineStr">
        <is>
          <t>Multi-channel, dedicated team</t>
        </is>
      </c>
      <c r="D13" s="37" t="n">
        <v>15000</v>
      </c>
      <c r="E13" s="37" t="n">
        <v>50000</v>
      </c>
      <c r="F13" s="8" t="inlineStr">
        <is>
          <t>fbd.agency</t>
        </is>
      </c>
    </row>
    <row r="14">
      <c r="B14" s="45" t="inlineStr">
        <is>
          <t>LEEP AI, doc 03 thinking</t>
        </is>
      </c>
      <c r="C14" s="46" t="inlineStr">
        <is>
          <t>Voice + SMS + chat + SEO + CRM hygiene</t>
        </is>
      </c>
      <c r="D14" s="47" t="n">
        <v>2500</v>
      </c>
      <c r="E14" s="47" t="n">
        <v>2500</v>
      </c>
      <c r="F14" s="48" t="inlineStr">
        <is>
          <t>More scope than a mid-market agency, at HALF the price of SEO alone</t>
        </is>
      </c>
    </row>
    <row r="16">
      <c r="B16" s="4" t="inlineStr">
        <is>
          <t>THE UP-MARKET LADDER</t>
        </is>
      </c>
    </row>
    <row r="17">
      <c r="B17" s="5" t="inlineStr">
        <is>
          <t>Tier</t>
        </is>
      </c>
      <c r="C17" s="5" t="inlineStr">
        <is>
          <t>Scope</t>
        </is>
      </c>
      <c r="D17" s="5" t="inlineStr">
        <is>
          <t>Price/mo</t>
        </is>
      </c>
      <c r="E17" s="5" t="inlineStr">
        <is>
          <t>GP per year</t>
        </is>
      </c>
      <c r="F17" s="5" t="inlineStr">
        <is>
          <t>Benchmarked against</t>
        </is>
      </c>
    </row>
    <row r="18">
      <c r="B18" s="25" t="inlineStr">
        <is>
          <t>Core</t>
        </is>
      </c>
      <c r="C18" s="40" t="inlineStr">
        <is>
          <t>Voice + reactivation, 1-2 locations</t>
        </is>
      </c>
      <c r="D18" s="7" t="n">
        <v>2000</v>
      </c>
      <c r="E18" s="14">
        <f>D18*12*Assumptions!$C$24</f>
        <v/>
      </c>
      <c r="F18" s="8" t="inlineStr">
        <is>
          <t>Above multi-location voice ($750+)</t>
        </is>
      </c>
    </row>
    <row r="19">
      <c r="B19" s="32" t="inlineStr">
        <is>
          <t>Group</t>
        </is>
      </c>
      <c r="C19" s="49" t="inlineStr">
        <is>
          <t>Full stack, 3-8 locations</t>
        </is>
      </c>
      <c r="D19" s="7" t="n">
        <v>5000</v>
      </c>
      <c r="E19" s="9">
        <f>D19*12*Assumptions!$C$24</f>
        <v/>
      </c>
      <c r="F19" s="33" t="inlineStr">
        <is>
          <t>Low end of mid-market agency ($5-15K)</t>
        </is>
      </c>
    </row>
    <row r="20">
      <c r="B20" s="25" t="inlineStr">
        <is>
          <t>Value-event</t>
        </is>
      </c>
      <c r="C20" s="40" t="inlineStr">
        <is>
          <t>Group + diligence data work, pre-exit</t>
        </is>
      </c>
      <c r="D20" s="7" t="n">
        <v>8000</v>
      </c>
      <c r="E20" s="14">
        <f>D20*12*Assumptions!$C$24</f>
        <v/>
      </c>
      <c r="F20" s="8" t="inlineStr">
        <is>
          <t>Mid-market, justified by EBITDA math</t>
        </is>
      </c>
    </row>
    <row r="21">
      <c r="B21" s="25" t="inlineStr">
        <is>
          <t>Enterprise-lite</t>
        </is>
      </c>
      <c r="C21" s="40" t="inlineStr">
        <is>
          <t>8-15 locations, multi-brand</t>
        </is>
      </c>
      <c r="D21" s="7" t="n">
        <v>12000</v>
      </c>
      <c r="E21" s="14">
        <f>D21*12*Assumptions!$C$24</f>
        <v/>
      </c>
      <c r="F21" s="8" t="inlineStr">
        <is>
          <t>Bottom of the enterprise band</t>
        </is>
      </c>
    </row>
    <row r="24">
      <c r="B24" s="4" t="inlineStr">
        <is>
          <t>THE TENSION — up-market raises ACV but lowers close rate and lengthens the cycle</t>
        </is>
      </c>
    </row>
    <row r="25">
      <c r="B25" s="2" t="inlineStr">
        <is>
          <t>With a 30 November signature deadline, cycle length is the binding constraint.</t>
        </is>
      </c>
    </row>
    <row r="26">
      <c r="B26" s="5" t="inlineStr">
        <is>
          <t>ACV/mo</t>
        </is>
      </c>
      <c r="C26" s="5" t="inlineStr">
        <is>
          <t>Annual</t>
        </is>
      </c>
      <c r="D26" s="5" t="inlineStr">
        <is>
          <t>Close rate band</t>
        </is>
      </c>
      <c r="E26" s="5" t="inlineStr">
        <is>
          <t>Cycle</t>
        </is>
      </c>
      <c r="F26" s="5" t="inlineStr">
        <is>
          <t>Customers needed / verdict</t>
        </is>
      </c>
    </row>
    <row r="27">
      <c r="B27" s="50" t="n">
        <v>2500</v>
      </c>
      <c r="C27" s="51">
        <f>B27*12</f>
        <v/>
      </c>
      <c r="D27" s="28" t="inlineStr">
        <is>
          <t>20-28%</t>
        </is>
      </c>
      <c r="E27" s="28" t="inlineStr">
        <is>
          <t>30-90d</t>
        </is>
      </c>
      <c r="F27" s="52">
        <f>ROUNDUP(Assumptions!$C$11/B27,0)&amp;" customers — Underpriced, high volume"</f>
        <v/>
      </c>
    </row>
    <row r="28">
      <c r="B28" s="53" t="n">
        <v>4000</v>
      </c>
      <c r="C28" s="9">
        <f>B28*12</f>
        <v/>
      </c>
      <c r="D28" s="31" t="inlineStr">
        <is>
          <t>20-28%</t>
        </is>
      </c>
      <c r="E28" s="31" t="inlineStr">
        <is>
          <t>30-90d</t>
        </is>
      </c>
      <c r="F28" s="54">
        <f>ROUNDUP(Assumptions!$C$11/B28,0)&amp;" customers — SWEET SPOT"</f>
        <v/>
      </c>
    </row>
    <row r="29">
      <c r="B29" s="37" t="n">
        <v>6000</v>
      </c>
      <c r="C29" s="14">
        <f>B29*12</f>
        <v/>
      </c>
      <c r="D29" s="27" t="inlineStr">
        <is>
          <t>15-22%</t>
        </is>
      </c>
      <c r="E29" s="27" t="inlineStr">
        <is>
          <t>30-90d+</t>
        </is>
      </c>
      <c r="F29" s="6">
        <f>ROUNDUP(Assumptions!$C$11/B29,0)&amp;" customers — Strong, slower"</f>
        <v/>
      </c>
    </row>
    <row r="30">
      <c r="B30" s="50" t="n">
        <v>8000</v>
      </c>
      <c r="C30" s="51">
        <f>B30*12</f>
        <v/>
      </c>
      <c r="D30" s="28" t="inlineStr">
        <is>
          <t>15-22%</t>
        </is>
      </c>
      <c r="E30" s="28" t="inlineStr">
        <is>
          <t>60-120d</t>
        </is>
      </c>
      <c r="F30" s="52">
        <f>ROUNDUP(Assumptions!$C$11/B30,0)&amp;" customers — Cycle likely overruns 30 Nov"</f>
        <v/>
      </c>
    </row>
    <row r="31">
      <c r="B31" s="50" t="n">
        <v>12000</v>
      </c>
      <c r="C31" s="51">
        <f>B31*12</f>
        <v/>
      </c>
      <c r="D31" s="28" t="inlineStr">
        <is>
          <t>12-18%</t>
        </is>
      </c>
      <c r="E31" s="28" t="inlineStr">
        <is>
          <t>90-180d</t>
        </is>
      </c>
      <c r="F31" s="52">
        <f>ROUNDUP(Assumptions!$C$11/B31,0)&amp;" customers — Cannot close in time"</f>
        <v/>
      </c>
    </row>
    <row r="33">
      <c r="B33" s="26" t="inlineStr">
        <is>
          <t>Recommendation: $4,000/mo blended, Group tier listed $4,000-6,000. Keeps you in the 20-28% close band and a 30-90 day cycle, so two cohorts fit before 30 Nov.</t>
        </is>
      </c>
    </row>
    <row r="34">
      <c r="B34" s="11" t="inlineStr">
        <is>
          <t>$8,000+ is the right 2027 position and the wrong bet for a November deadline.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6" customWidth="1" min="3" max="3"/>
    <col width="40" customWidth="1" min="4" max="4"/>
    <col width="40" customWidth="1" min="5" max="5"/>
  </cols>
  <sheetData>
    <row r="2">
      <c r="B2" s="1" t="inlineStr">
        <is>
          <t>Timeline</t>
        </is>
      </c>
    </row>
    <row r="3">
      <c r="B3" s="2" t="inlineStr">
        <is>
          <t>Collected revenue moves the deadline to 30 November and the build deadline to ~1 September.</t>
        </is>
      </c>
    </row>
    <row r="5">
      <c r="B5" s="4" t="inlineStr">
        <is>
          <t>WHAT 'COLLECTED' COSTS YOU</t>
        </is>
      </c>
    </row>
    <row r="6">
      <c r="B6" s="5" t="inlineStr">
        <is>
          <t>Milestone</t>
        </is>
      </c>
      <c r="C6" s="5" t="inlineStr">
        <is>
          <t>Exit run-rate (doc 03)</t>
        </is>
      </c>
      <c r="D6" s="5" t="inlineStr">
        <is>
          <t>COLLECTED (actual)</t>
        </is>
      </c>
      <c r="E6" s="5" t="inlineStr">
        <is>
          <t>Impact</t>
        </is>
      </c>
    </row>
    <row r="7">
      <c r="B7" s="25" t="inlineStr">
        <is>
          <t>Signature deadline</t>
        </is>
      </c>
      <c r="C7" s="27" t="inlineStr">
        <is>
          <t>31 Dec</t>
        </is>
      </c>
      <c r="D7" s="55" t="inlineStr">
        <is>
          <t>~30 Nov</t>
        </is>
      </c>
      <c r="E7" s="40" t="inlineStr">
        <is>
          <t>One month lost</t>
        </is>
      </c>
    </row>
    <row r="8">
      <c r="B8" s="25" t="inlineStr">
        <is>
          <t>Time from today</t>
        </is>
      </c>
      <c r="C8" s="27" t="inlineStr">
        <is>
          <t>4.8 months</t>
        </is>
      </c>
      <c r="D8" s="55" t="inlineStr">
        <is>
          <t>3.8 months</t>
        </is>
      </c>
      <c r="E8" s="40" t="inlineStr">
        <is>
          <t>21% less selling time</t>
        </is>
      </c>
    </row>
    <row r="9">
      <c r="B9" s="25" t="inlineStr">
        <is>
          <t>Pipeline created by</t>
        </is>
      </c>
      <c r="C9" s="27" t="inlineStr">
        <is>
          <t>1 Oct - 1 Dec</t>
        </is>
      </c>
      <c r="D9" s="55" t="inlineStr">
        <is>
          <t>1 Sep - 31 Oct</t>
        </is>
      </c>
      <c r="E9" s="40" t="inlineStr">
        <is>
          <t>Cohort one starts now</t>
        </is>
      </c>
    </row>
    <row r="10">
      <c r="B10" s="29" t="inlineStr">
        <is>
          <t>Engine live by</t>
        </is>
      </c>
      <c r="C10" s="28" t="inlineStr">
        <is>
          <t>1 Oct</t>
        </is>
      </c>
      <c r="D10" s="45" t="inlineStr">
        <is>
          <t>~1 Sep</t>
        </is>
      </c>
      <c r="E10" s="46" t="inlineStr">
        <is>
          <t>FOUR WEEKS FROM TODAY</t>
        </is>
      </c>
    </row>
    <row r="13">
      <c r="B13" s="4" t="inlineStr">
        <is>
          <t>MONTH BY MONTH</t>
        </is>
      </c>
    </row>
    <row r="14">
      <c r="B14" s="5" t="inlineStr">
        <is>
          <t>Month</t>
        </is>
      </c>
      <c r="C14" s="5" t="inlineStr">
        <is>
          <t>Focus</t>
        </is>
      </c>
      <c r="D14" s="5" t="inlineStr">
        <is>
          <t>Must be true by month end</t>
        </is>
      </c>
      <c r="E14" s="5" t="inlineStr">
        <is>
          <t>Ad spend</t>
        </is>
      </c>
    </row>
    <row r="15" ht="30" customHeight="1">
      <c r="B15" s="25" t="inlineStr">
        <is>
          <t>August</t>
        </is>
      </c>
      <c r="C15" s="27" t="inlineStr">
        <is>
          <t>Build + validate</t>
        </is>
      </c>
      <c r="D15" s="38" t="inlineStr">
        <is>
          <t>Engine live. Domain warming. AI receptionist ads restarted and CPL measured</t>
        </is>
      </c>
      <c r="E15" s="27" t="inlineStr">
        <is>
          <t>$1,500</t>
        </is>
      </c>
    </row>
    <row r="16" ht="30" customHeight="1">
      <c r="B16" s="25" t="inlineStr">
        <is>
          <t>September</t>
        </is>
      </c>
      <c r="C16" s="27" t="inlineStr">
        <is>
          <t>Pilot + first cohort</t>
        </is>
      </c>
      <c r="D16" s="38" t="inlineStr">
        <is>
          <t>Real conversion numbers measured. First deals in pipeline. Ads calibrated</t>
        </is>
      </c>
      <c r="E16" s="27" t="inlineStr">
        <is>
          <t>$3,000</t>
        </is>
      </c>
    </row>
    <row r="17" ht="30" customHeight="1">
      <c r="B17" s="25" t="inlineStr">
        <is>
          <t>October</t>
        </is>
      </c>
      <c r="C17" s="27" t="inlineStr">
        <is>
          <t>Full volume</t>
        </is>
      </c>
      <c r="D17" s="38" t="inlineStr">
        <is>
          <t>Pipeline arithmetic supports the target. BUILD FROZEN</t>
        </is>
      </c>
      <c r="E17" s="27" t="inlineStr">
        <is>
          <t>$4,000</t>
        </is>
      </c>
    </row>
    <row r="18" ht="30" customHeight="1">
      <c r="B18" s="32" t="inlineStr">
        <is>
          <t>November</t>
        </is>
      </c>
      <c r="C18" s="31" t="inlineStr">
        <is>
          <t>CLOSE</t>
        </is>
      </c>
      <c r="D18" s="56" t="inlineStr">
        <is>
          <t>All 12 signed by 30 Nov. Billing configured for 1 Dec</t>
        </is>
      </c>
      <c r="E18" s="31" t="inlineStr">
        <is>
          <t>$4,000</t>
        </is>
      </c>
    </row>
    <row r="19" ht="30" customHeight="1">
      <c r="B19" s="25" t="inlineStr">
        <is>
          <t>December</t>
        </is>
      </c>
      <c r="C19" s="27" t="inlineStr">
        <is>
          <t>Collect + deliver</t>
        </is>
      </c>
      <c r="D19" s="38" t="inlineStr">
        <is>
          <t>$50K collected. Delivery capacity is now the constraint</t>
        </is>
      </c>
      <c r="E19" s="27" t="inlineStr">
        <is>
          <t>Maintain</t>
        </is>
      </c>
    </row>
    <row r="22">
      <c r="B22" s="4" t="inlineStr">
        <is>
          <t>THIS WEEK — non-negotiable</t>
        </is>
      </c>
    </row>
    <row r="23" ht="30" customHeight="1">
      <c r="B23" s="3" t="inlineStr">
        <is>
          <t>1.</t>
        </is>
      </c>
      <c r="C23" s="57" t="inlineStr">
        <is>
          <t>Buy the prospecting domain and start warmup. A new domain needs 4-8 weeks to reach 50 emails/day. Confirm the spelling first (itsleapai vs itsleepai).</t>
        </is>
      </c>
    </row>
    <row r="24" ht="30" customHeight="1">
      <c r="B24" s="3" t="inlineStr">
        <is>
          <t>2.</t>
        </is>
      </c>
      <c r="C24" s="57" t="inlineStr">
        <is>
          <t>Restart the AI Receptionist ad campaigns at $50/day. You need a real CPL for the real offer before you can plan around ads at all.</t>
        </is>
      </c>
    </row>
    <row r="25" ht="30" customHeight="1">
      <c r="B25" s="3" t="inlineStr">
        <is>
          <t>3.</t>
        </is>
      </c>
      <c r="C25" s="57" t="inlineStr">
        <is>
          <t>Assign referral outreach to a named person. Two referrals at $4,000 is $8,000/mo for effectively zero CAC and nobody owns it.</t>
        </is>
      </c>
    </row>
    <row r="26" ht="30" customHeight="1">
      <c r="B26" s="3" t="inlineStr">
        <is>
          <t>4.</t>
        </is>
      </c>
      <c r="C26" s="57" t="inlineStr">
        <is>
          <t>Decide the Group tier price. Everything downstream depends on it.</t>
        </is>
      </c>
    </row>
    <row r="27" ht="30" customHeight="1">
      <c r="B27" s="3" t="inlineStr">
        <is>
          <t>5.</t>
        </is>
      </c>
      <c r="C27" s="57" t="inlineStr">
        <is>
          <t>Start recording every cold call. It is the training data and it is unrecoverable once a call happens.</t>
        </is>
      </c>
    </row>
  </sheetData>
  <mergeCells count="5">
    <mergeCell ref="C27:E27"/>
    <mergeCell ref="C23:E23"/>
    <mergeCell ref="C26:E26"/>
    <mergeCell ref="C25:E25"/>
    <mergeCell ref="C24:E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7" customWidth="1" min="3" max="3"/>
    <col width="17" customWidth="1" min="4" max="4"/>
    <col width="17" customWidth="1" min="5" max="5"/>
    <col width="17" customWidth="1" min="6" max="6"/>
    <col width="30" customWidth="1" min="7" max="7"/>
  </cols>
  <sheetData>
    <row r="2">
      <c r="B2" s="1" t="inlineStr">
        <is>
          <t>Industry Economics</t>
        </is>
      </c>
    </row>
    <row r="3">
      <c r="B3" s="2" t="inlineStr">
        <is>
          <t>Every figure sourced. See 05-industry-icp-fast-market.md for citations.</t>
        </is>
      </c>
    </row>
    <row r="5">
      <c r="B5" s="5" t="inlineStr">
        <is>
          <t>Metric</t>
        </is>
      </c>
      <c r="C5" s="5" t="inlineStr">
        <is>
          <t>HVAC</t>
        </is>
      </c>
      <c r="D5" s="5" t="inlineStr">
        <is>
          <t>Plumbing</t>
        </is>
      </c>
      <c r="E5" s="5" t="inlineStr">
        <is>
          <t>Med Spa</t>
        </is>
      </c>
      <c r="F5" s="5" t="inlineStr">
        <is>
          <t>Auto Detailing</t>
        </is>
      </c>
      <c r="G5" s="5" t="inlineStr">
        <is>
          <t>Note</t>
        </is>
      </c>
    </row>
    <row r="6" ht="26" customHeight="1">
      <c r="B6" s="25" t="inlineStr">
        <is>
          <t>Typical revenue</t>
        </is>
      </c>
      <c r="C6" s="58" t="inlineStr">
        <is>
          <t>$750K-1.5M</t>
        </is>
      </c>
      <c r="D6" s="58" t="inlineStr">
        <is>
          <t>$1.28M avg</t>
        </is>
      </c>
      <c r="E6" s="58" t="inlineStr">
        <is>
          <t>$1.86M median</t>
        </is>
      </c>
      <c r="F6" s="58" t="inlineStr">
        <is>
          <t>~$168K mobile</t>
        </is>
      </c>
      <c r="G6" s="8" t="inlineStr">
        <is>
          <t>Med spa leads by a wide margin</t>
        </is>
      </c>
    </row>
    <row r="7" ht="26" customHeight="1">
      <c r="B7" s="59" t="inlineStr">
        <is>
          <t>Average employees</t>
        </is>
      </c>
      <c r="C7" s="60" t="inlineStr">
        <is>
          <t>5.2</t>
        </is>
      </c>
      <c r="D7" s="60" t="inlineStr">
        <is>
          <t>5</t>
        </is>
      </c>
      <c r="E7" s="60" t="inlineStr">
        <is>
          <t>n/a</t>
        </is>
      </c>
      <c r="F7" s="60" t="inlineStr">
        <is>
          <t>1-5</t>
        </is>
      </c>
      <c r="G7" s="8" t="inlineStr">
        <is>
          <t>All owner-operator scale</t>
        </is>
      </c>
    </row>
    <row r="8" ht="26" customHeight="1">
      <c r="B8" s="25" t="inlineStr">
        <is>
          <t>Average ticket</t>
        </is>
      </c>
      <c r="C8" s="58" t="inlineStr">
        <is>
          <t>$1,400-1,800</t>
        </is>
      </c>
      <c r="D8" s="58" t="inlineStr">
        <is>
          <t>$150-500</t>
        </is>
      </c>
      <c r="E8" s="58" t="inlineStr">
        <is>
          <t>$450-600/visit</t>
        </is>
      </c>
      <c r="F8" s="58" t="inlineStr">
        <is>
          <t>$185</t>
        </is>
      </c>
      <c r="G8" s="8" t="inlineStr">
        <is>
          <t>Ticket drives the ROI story</t>
        </is>
      </c>
    </row>
    <row r="9" ht="26" customHeight="1">
      <c r="B9" s="59" t="inlineStr">
        <is>
          <t>Customer LTV</t>
        </is>
      </c>
      <c r="C9" s="60" t="inlineStr">
        <is>
          <t>$15,340</t>
        </is>
      </c>
      <c r="D9" s="60" t="inlineStr">
        <is>
          <t>n/a</t>
        </is>
      </c>
      <c r="E9" s="60" t="inlineStr">
        <is>
          <t>$1,800-5,200</t>
        </is>
      </c>
      <c r="F9" s="60" t="inlineStr">
        <is>
          <t>n/a</t>
        </is>
      </c>
      <c r="G9" s="8" t="inlineStr">
        <is>
          <t>HVAC LTV is exceptional</t>
        </is>
      </c>
    </row>
    <row r="10" ht="26" customHeight="1">
      <c r="B10" s="25" t="inlineStr">
        <is>
          <t>Net margin</t>
        </is>
      </c>
      <c r="C10" s="58" t="inlineStr">
        <is>
          <t>8-12%</t>
        </is>
      </c>
      <c r="D10" s="58" t="inlineStr">
        <is>
          <t>2-8% median / 20-35% leaders</t>
        </is>
      </c>
      <c r="E10" s="58" t="inlineStr">
        <is>
          <t>est. 15-25%</t>
        </is>
      </c>
      <c r="F10" s="58" t="inlineStr">
        <is>
          <t>12.5-30%</t>
        </is>
      </c>
      <c r="G10" s="8" t="inlineStr">
        <is>
          <t>Plumbing is bimodal</t>
        </is>
      </c>
    </row>
    <row r="11" ht="26" customHeight="1">
      <c r="B11" s="59" t="inlineStr">
        <is>
          <t>Monthly profit</t>
        </is>
      </c>
      <c r="C11" s="60" t="inlineStr">
        <is>
          <t>$5K-15K</t>
        </is>
      </c>
      <c r="D11" s="60" t="inlineStr">
        <is>
          <t>$2K-8.5K / $21K-37K</t>
        </is>
      </c>
      <c r="E11" s="60" t="inlineStr">
        <is>
          <t>$23K-39K</t>
        </is>
      </c>
      <c r="F11" s="60" t="inlineStr">
        <is>
          <t>$2.1K-4.2K</t>
        </is>
      </c>
      <c r="G11" s="8" t="inlineStr">
        <is>
          <t>This is the affordability line</t>
        </is>
      </c>
    </row>
    <row r="12" ht="26" customHeight="1">
      <c r="B12" s="25" t="inlineStr">
        <is>
          <t>$2,000 retainer as % profit</t>
        </is>
      </c>
      <c r="C12" s="58" t="inlineStr">
        <is>
          <t>13-40%</t>
        </is>
      </c>
      <c r="D12" s="58" t="inlineStr">
        <is>
          <t>24-94% / 5-10%</t>
        </is>
      </c>
      <c r="E12" s="58" t="inlineStr">
        <is>
          <t>5-9%</t>
        </is>
      </c>
      <c r="F12" s="58" t="inlineStr">
        <is>
          <t>48-95%</t>
        </is>
      </c>
      <c r="G12" s="8" t="inlineStr">
        <is>
          <t>Under 15% is comfortable</t>
        </is>
      </c>
    </row>
    <row r="13" ht="26" customHeight="1">
      <c r="B13" s="59" t="inlineStr">
        <is>
          <t>US business count</t>
        </is>
      </c>
      <c r="C13" s="60" t="inlineStr">
        <is>
          <t>n/a</t>
        </is>
      </c>
      <c r="D13" s="60" t="inlineStr">
        <is>
          <t>113,347</t>
        </is>
      </c>
      <c r="E13" s="60" t="inlineStr">
        <is>
          <t>10,000+ locations</t>
        </is>
      </c>
      <c r="F13" s="60" t="inlineStr">
        <is>
          <t>16,879 incl. car wash</t>
        </is>
      </c>
      <c r="G13" s="8" t="inlineStr">
        <is>
          <t>TAM check</t>
        </is>
      </c>
    </row>
    <row r="14">
      <c r="B14" s="25" t="inlineStr">
        <is>
          <t>AFFORDABILITY VERDICT</t>
        </is>
      </c>
      <c r="C14" s="16" t="inlineStr">
        <is>
          <t>NEEDS ROI CASE</t>
        </is>
      </c>
      <c r="D14" s="16" t="inlineStr">
        <is>
          <t>LEADERS ONLY</t>
        </is>
      </c>
      <c r="E14" s="32" t="inlineStr">
        <is>
          <t>COMFORTABLE</t>
        </is>
      </c>
      <c r="F14" s="29" t="inlineStr">
        <is>
          <t>CANNOT AFFORD</t>
        </is>
      </c>
      <c r="G14" s="8" t="inlineStr">
        <is>
          <t>Retainer vs monthly profit</t>
        </is>
      </c>
    </row>
    <row r="15">
      <c r="B15" s="25" t="inlineStr">
        <is>
          <t>Q4 SEASONAL FIT</t>
        </is>
      </c>
      <c r="C15" s="32" t="inlineStr">
        <is>
          <t>EXCELLENT</t>
        </is>
      </c>
      <c r="D15" s="32" t="inlineStr">
        <is>
          <t>GOOD</t>
        </is>
      </c>
      <c r="E15" s="32" t="inlineStr">
        <is>
          <t>EXCELLENT</t>
        </is>
      </c>
      <c r="F15" s="29" t="inlineStr">
        <is>
          <t>POOR - off season</t>
        </is>
      </c>
      <c r="G15" s="8" t="inlineStr">
        <is>
          <t>You sell Aug-Nov. Timing is a filter, not a footnote.</t>
        </is>
      </c>
    </row>
    <row r="17">
      <c r="B17" s="4" t="inlineStr">
        <is>
          <t>ENTRY PLAYBOOK</t>
        </is>
      </c>
    </row>
    <row r="18">
      <c r="B18" s="5" t="inlineStr">
        <is>
          <t>Industry</t>
        </is>
      </c>
      <c r="C18" s="5" t="inlineStr">
        <is>
          <t>Lead product</t>
        </is>
      </c>
      <c r="E18" s="5" t="inlineStr">
        <is>
          <t>Top 3 pain signals</t>
        </is>
      </c>
      <c r="G18" s="5" t="inlineStr">
        <is>
          <t>Expected ticket</t>
        </is>
      </c>
    </row>
    <row r="19" ht="46" customHeight="1">
      <c r="B19" s="25" t="inlineStr">
        <is>
          <t>HVAC</t>
        </is>
      </c>
      <c r="C19" s="61" t="inlineStr">
        <is>
          <t>Voice AI receptionist</t>
        </is>
      </c>
      <c r="D19" s="62" t="n"/>
      <c r="E19" s="38" t="inlineStr">
        <is>
          <t>1. Main line rings to mobile or voicemail in posted hours  2. Receptionist posting live 30+ days  3. Reviews citing 'never called back'</t>
        </is>
      </c>
      <c r="F19" s="62" t="n"/>
      <c r="G19" s="61" t="inlineStr">
        <is>
          <t>$1,500-2,500</t>
        </is>
      </c>
    </row>
    <row r="20" ht="46" customHeight="1">
      <c r="B20" s="25" t="inlineStr">
        <is>
          <t>Plumbing</t>
        </is>
      </c>
      <c r="C20" s="61" t="inlineStr">
        <is>
          <t>Voice AI, after-hours wedge</t>
        </is>
      </c>
      <c r="D20" s="62" t="n"/>
      <c r="E20" s="38" t="inlineStr">
        <is>
          <t>1. Advertises 24/7 but off-hours call fails  2. Answering service in use (price anchor)  3. Paid ads running to a slow-response number</t>
        </is>
      </c>
      <c r="F20" s="62" t="n"/>
      <c r="G20" s="61" t="inlineStr">
        <is>
          <t>$1,500-2,500</t>
        </is>
      </c>
    </row>
    <row r="21" ht="46" customHeight="1">
      <c r="B21" s="25" t="inlineStr">
        <is>
          <t>Med Spa</t>
        </is>
      </c>
      <c r="C21" s="61" t="inlineStr">
        <is>
          <t>SMS reactivation. NOT voice</t>
        </is>
      </c>
      <c r="D21" s="62" t="n"/>
      <c r="E21" s="38" t="inlineStr">
        <is>
          <t>1. On Boulevard (weak attribution + LTV reporting)  2. Review count far exceeds recent velocity  3. No email or SMS marketing footprint</t>
        </is>
      </c>
      <c r="F21" s="62" t="n"/>
      <c r="G21" s="61" t="inlineStr">
        <is>
          <t>$2,000-3,000 single / $4,000-6,000 group</t>
        </is>
      </c>
    </row>
    <row r="22" ht="46" customHeight="1">
      <c r="B22" s="29" t="inlineStr">
        <is>
          <t>Auto Detailing</t>
        </is>
      </c>
      <c r="C22" s="63" t="inlineStr">
        <is>
          <t>DEPRIORITISE this quarter</t>
        </is>
      </c>
      <c r="D22" s="62" t="n"/>
      <c r="E22" s="64" t="inlineStr">
        <is>
          <t>Fails on affordability AND Q4 seasonality. Keep the accounts and products; revisit in spring.</t>
        </is>
      </c>
      <c r="F22" s="62" t="n"/>
      <c r="G22" s="63" t="inlineStr">
        <is>
          <t>n/a</t>
        </is>
      </c>
    </row>
    <row r="24">
      <c r="B24" s="26" t="inlineStr">
        <is>
          <t>HVAC: each missed call costs $350+; 5 missed calls a week is $91,000 a year. Published in their own trade press. Your single best sales asset.</t>
        </is>
      </c>
    </row>
  </sheetData>
  <mergeCells count="8">
    <mergeCell ref="C20:D20"/>
    <mergeCell ref="E20:F20"/>
    <mergeCell ref="C21:D21"/>
    <mergeCell ref="E19:F19"/>
    <mergeCell ref="C19:D19"/>
    <mergeCell ref="E22:F22"/>
    <mergeCell ref="C22:D22"/>
    <mergeCell ref="E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18" customWidth="1" min="5" max="5"/>
    <col width="44" customWidth="1" min="6" max="6"/>
  </cols>
  <sheetData>
    <row r="2">
      <c r="B2" s="1" t="inlineStr">
        <is>
          <t>Up-Market vs Fast-Market vs Barbell</t>
        </is>
      </c>
    </row>
    <row r="3">
      <c r="B3" s="2" t="inlineStr">
        <is>
          <t>Same gap to close. Three routes. The barbell hedges the 30 November deadline.</t>
        </is>
      </c>
    </row>
    <row r="5">
      <c r="B5" s="5" t="inlineStr">
        <is>
          <t>Dimension</t>
        </is>
      </c>
      <c r="C5" s="5" t="inlineStr">
        <is>
          <t>Up-market</t>
        </is>
      </c>
      <c r="D5" s="5" t="inlineStr">
        <is>
          <t>Fast-market</t>
        </is>
      </c>
      <c r="E5" s="5" t="inlineStr">
        <is>
          <t>BARBELL</t>
        </is>
      </c>
      <c r="F5" s="5" t="inlineStr">
        <is>
          <t>Why it matters</t>
        </is>
      </c>
    </row>
    <row r="6">
      <c r="B6" s="25" t="inlineStr">
        <is>
          <t>Blended ACV</t>
        </is>
      </c>
      <c r="C6" s="27" t="inlineStr">
        <is>
          <t>$4,000</t>
        </is>
      </c>
      <c r="D6" s="27" t="inlineStr">
        <is>
          <t>$2,250</t>
        </is>
      </c>
      <c r="E6" s="32" t="inlineStr">
        <is>
          <t>$2,735</t>
        </is>
      </c>
      <c r="F6" s="8" t="inlineStr">
        <is>
          <t>Price is the biggest lever on funnel volume</t>
        </is>
      </c>
    </row>
    <row r="7">
      <c r="B7" s="59" t="inlineStr">
        <is>
          <t>Customers needed</t>
        </is>
      </c>
      <c r="C7" s="41" t="inlineStr">
        <is>
          <t>12</t>
        </is>
      </c>
      <c r="D7" s="41" t="inlineStr">
        <is>
          <t>21</t>
        </is>
      </c>
      <c r="E7" s="32" t="inlineStr">
        <is>
          <t>17</t>
        </is>
      </c>
      <c r="F7" s="8" t="inlineStr">
        <is>
          <t>Each one consumes delivery capacity</t>
        </is>
      </c>
    </row>
    <row r="8">
      <c r="B8" s="25" t="inlineStr">
        <is>
          <t>Typical cycle</t>
        </is>
      </c>
      <c r="C8" s="27" t="inlineStr">
        <is>
          <t>30-90 days</t>
        </is>
      </c>
      <c r="D8" s="27" t="inlineStr">
        <is>
          <t>14-45 days</t>
        </is>
      </c>
      <c r="E8" s="32" t="inlineStr">
        <is>
          <t>Mixed</t>
        </is>
      </c>
      <c r="F8" s="8" t="inlineStr">
        <is>
          <t>Cycle, not revenue, is the binding constraint</t>
        </is>
      </c>
    </row>
    <row r="9">
      <c r="B9" s="59" t="inlineStr">
        <is>
          <t>Cohorts before 30 Nov</t>
        </is>
      </c>
      <c r="C9" s="41" t="inlineStr">
        <is>
          <t>~2</t>
        </is>
      </c>
      <c r="D9" s="41" t="inlineStr">
        <is>
          <t>~4</t>
        </is>
      </c>
      <c r="E9" s="32" t="inlineStr">
        <is>
          <t>2 slow + 4 fast</t>
        </is>
      </c>
      <c r="F9" s="8" t="inlineStr">
        <is>
          <t>More shots on goal</t>
        </is>
      </c>
    </row>
    <row r="10">
      <c r="B10" s="25" t="inlineStr">
        <is>
          <t>Close rate band</t>
        </is>
      </c>
      <c r="C10" s="27" t="inlineStr">
        <is>
          <t>20-28%</t>
        </is>
      </c>
      <c r="D10" s="27" t="inlineStr">
        <is>
          <t>25-35%</t>
        </is>
      </c>
      <c r="E10" s="32" t="inlineStr">
        <is>
          <t>Mixed</t>
        </is>
      </c>
      <c r="F10" s="8" t="inlineStr">
        <is>
          <t>Smaller simpler decisions close better</t>
        </is>
      </c>
    </row>
    <row r="11">
      <c r="B11" s="59" t="inlineStr">
        <is>
          <t>Dials/month, outbound</t>
        </is>
      </c>
      <c r="C11" s="41" t="inlineStr">
        <is>
          <t>356</t>
        </is>
      </c>
      <c r="D11" s="41" t="inlineStr">
        <is>
          <t>~800</t>
        </is>
      </c>
      <c r="E11" s="32" t="inlineStr">
        <is>
          <t>~600</t>
        </is>
      </c>
      <c r="F11" s="8" t="inlineStr">
        <is>
          <t>Two callers at 40/day sustainable</t>
        </is>
      </c>
    </row>
    <row r="12">
      <c r="B12" s="25" t="inlineStr">
        <is>
          <t>Main risk</t>
        </is>
      </c>
      <c r="C12" s="27" t="inlineStr">
        <is>
          <t>Deals slip past 30 Nov</t>
        </is>
      </c>
      <c r="D12" s="27" t="inlineStr">
        <is>
          <t>Volume strain on 2 callers</t>
        </is>
      </c>
      <c r="E12" s="32" t="inlineStr">
        <is>
          <t>Diversified</t>
        </is>
      </c>
      <c r="F12" s="8" t="inlineStr">
        <is>
          <t>The barbell fails more gracefully</t>
        </is>
      </c>
    </row>
    <row r="15">
      <c r="B15" s="4" t="inlineStr">
        <is>
          <t>THE BARBELL, COMPOSED</t>
        </is>
      </c>
    </row>
    <row r="16">
      <c r="B16" s="5" t="inlineStr">
        <is>
          <t>Segment</t>
        </is>
      </c>
      <c r="C16" s="5" t="inlineStr">
        <is>
          <t>Customers</t>
        </is>
      </c>
      <c r="D16" s="5" t="inlineStr">
        <is>
          <t>ACV/mo</t>
        </is>
      </c>
      <c r="E16" s="5" t="inlineStr">
        <is>
          <t>MRR</t>
        </is>
      </c>
      <c r="F16" s="5" t="inlineStr">
        <is>
          <t>Who</t>
        </is>
      </c>
    </row>
    <row r="17">
      <c r="B17" s="25" t="inlineStr">
        <is>
          <t>Group tier</t>
        </is>
      </c>
      <c r="C17" s="21">
        <f>Assumptions!C17</f>
        <v/>
      </c>
      <c r="D17" s="65">
        <f>Assumptions!C18</f>
        <v/>
      </c>
      <c r="E17" s="14">
        <f>C17*D17</f>
        <v/>
      </c>
      <c r="F17" s="8" t="inlineStr">
        <is>
          <t>3-8 location med spa groups</t>
        </is>
      </c>
    </row>
    <row r="18">
      <c r="B18" s="25" t="inlineStr">
        <is>
          <t>Fast tier</t>
        </is>
      </c>
      <c r="C18" s="21">
        <f>Assumptions!C19</f>
        <v/>
      </c>
      <c r="D18" s="65">
        <f>Assumptions!C20</f>
        <v/>
      </c>
      <c r="E18" s="14">
        <f>C18*D18</f>
        <v/>
      </c>
      <c r="F18" s="8" t="inlineStr">
        <is>
          <t>Single-location HVAC, plumbing LEADERS, med spa $1.5M+</t>
        </is>
      </c>
    </row>
    <row r="19">
      <c r="B19" s="25" t="inlineStr">
        <is>
          <t>Total new MRR</t>
        </is>
      </c>
      <c r="C19" s="17">
        <f>SUM(C17:C18)</f>
        <v/>
      </c>
      <c r="E19" s="9">
        <f>SUM(E17:E18)</f>
        <v/>
      </c>
    </row>
    <row r="20">
      <c r="B20" s="27" t="inlineStr">
        <is>
          <t>Plus current MRR</t>
        </is>
      </c>
      <c r="E20" s="65">
        <f>Assumptions!C10</f>
        <v/>
      </c>
    </row>
    <row r="21">
      <c r="B21" s="25" t="inlineStr">
        <is>
          <t>DECEMBER COLLECTED</t>
        </is>
      </c>
      <c r="E21" s="66">
        <f>E19+E20</f>
        <v/>
      </c>
    </row>
    <row r="23">
      <c r="B23" s="4" t="inlineStr">
        <is>
          <t>WHAT MAKES THE FAST TIER ACTUALLY FAST</t>
        </is>
      </c>
    </row>
    <row r="24">
      <c r="B24" s="11" t="inlineStr">
        <is>
          <t>Lowering price does NOT shorten the cycle on its own. Engineer these or you get a small deal on a long cycle.</t>
        </is>
      </c>
    </row>
    <row r="25">
      <c r="B25" s="3" t="inlineStr">
        <is>
          <t>•</t>
        </is>
      </c>
      <c r="C25" s="57" t="inlineStr">
        <is>
          <t>Month-to-month. No annual contract. Removes the biggest deliberation trigger.</t>
        </is>
      </c>
    </row>
    <row r="26">
      <c r="B26" s="3" t="inlineStr">
        <is>
          <t>•</t>
        </is>
      </c>
      <c r="C26" s="57" t="inlineStr">
        <is>
          <t>One decision maker, always. Filter hard on owner-operator markers.</t>
        </is>
      </c>
    </row>
    <row r="27">
      <c r="B27" s="3" t="inlineStr">
        <is>
          <t>•</t>
        </is>
      </c>
      <c r="C27" s="57" t="inlineStr">
        <is>
          <t>Runs inside their existing software. No migration means no IT conversation.</t>
        </is>
      </c>
    </row>
    <row r="28">
      <c r="B28" s="3" t="inlineStr">
        <is>
          <t>•</t>
        </is>
      </c>
      <c r="C28" s="57" t="inlineStr">
        <is>
          <t>Published pricing. Negotiation adds weeks; a firm number closes.</t>
        </is>
      </c>
    </row>
    <row r="29">
      <c r="B29" s="3" t="inlineStr">
        <is>
          <t>•</t>
        </is>
      </c>
      <c r="C29" s="57" t="inlineStr">
        <is>
          <t>Two calls maximum: diagnosis then proposal. A third call means it is a Group deal.</t>
        </is>
      </c>
    </row>
    <row r="30">
      <c r="B30" s="3" t="inlineStr">
        <is>
          <t>•</t>
        </is>
      </c>
      <c r="C30" s="57" t="inlineStr">
        <is>
          <t>Time-to-value under 14 days. They test cheaply instead of deliberating expensively.</t>
        </is>
      </c>
    </row>
  </sheetData>
  <mergeCells count="6">
    <mergeCell ref="C26:F26"/>
    <mergeCell ref="C29:F29"/>
    <mergeCell ref="C30:F30"/>
    <mergeCell ref="C25:F25"/>
    <mergeCell ref="C27:F27"/>
    <mergeCell ref="C28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2026-08-07T04:41:12Z</dcterms:created>
  <dcterms:modified xsi:type="dcterms:W3CDTF">2026-08-07T04:41:12Z</dcterms:modified>
</cp:coreProperties>
</file>