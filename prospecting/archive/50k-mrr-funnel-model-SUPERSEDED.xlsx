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Funnel" sheetId="2" state="visible" r:id="rId2"/>
    <sheet name="Scenarios" sheetId="3" state="visible" r:id="rId3"/>
    <sheet name="Pricing" sheetId="4" state="visible" r:id="rId4"/>
    <sheet name="Data Sources" sheetId="5" state="visible" r:id="rId5"/>
    <sheet name="Ph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($#,##0);-"/>
    <numFmt numFmtId="165" formatCode="#,##0;(#,##0);-"/>
    <numFmt numFmtId="166" formatCode="0.0%;(0.0%);-"/>
    <numFmt numFmtId="167" formatCode="#,##0.0;(#,##0.0);-"/>
    <numFmt numFmtId="168" formatCode="$#,##0.00;($#,##0.00);-"/>
  </numFmts>
  <fonts count="13">
    <font>
      <name val="Calibri"/>
      <family val="2"/>
      <color theme="1"/>
      <sz val="11"/>
      <scheme val="minor"/>
    </font>
    <font>
      <name val="Arial"/>
      <b val="1"/>
      <color rgb="000E3A44"/>
      <sz val="14"/>
    </font>
    <font>
      <name val="Arial"/>
      <i val="1"/>
      <color rgb="00595959"/>
      <sz val="9"/>
    </font>
    <font>
      <name val="Arial"/>
      <b val="1"/>
      <color rgb="000E3A44"/>
      <sz val="11"/>
    </font>
    <font>
      <name val="Arial"/>
      <b val="1"/>
      <sz val="10"/>
    </font>
    <font>
      <name val="Arial"/>
      <color rgb="00595959"/>
      <sz val="9"/>
    </font>
    <font>
      <name val="Arial"/>
      <sz val="10"/>
    </font>
    <font>
      <name val="Arial"/>
      <color rgb="000000FF"/>
      <sz val="10"/>
    </font>
    <font>
      <name val="Arial"/>
      <b val="1"/>
      <color rgb="00C00000"/>
      <sz val="9"/>
    </font>
    <font>
      <name val="Arial"/>
      <color rgb="00008000"/>
      <sz val="10"/>
    </font>
    <font>
      <name val="Arial"/>
      <b val="1"/>
      <color rgb="000E3A44"/>
      <sz val="9"/>
    </font>
    <font>
      <name val="Arial"/>
      <b val="1"/>
      <color rgb="00C00000"/>
      <sz val="10"/>
    </font>
    <font>
      <name val="Arial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DCE6E9"/>
      </patternFill>
    </fill>
    <fill>
      <patternFill patternType="solid">
        <fgColor rgb="00FFFF00"/>
      </patternFill>
    </fill>
    <fill>
      <patternFill patternType="solid">
        <fgColor rgb="00E2EFF1"/>
      </patternFill>
    </fill>
    <fill>
      <patternFill patternType="solid">
        <fgColor rgb="00F2F5F6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B7C2C6"/>
      </left>
      <right style="thin">
        <color rgb="00B7C2C6"/>
      </right>
      <top style="thin">
        <color rgb="00B7C2C6"/>
      </top>
      <bottom style="thin">
        <color rgb="00B7C2C6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1" pivotButton="0" quotePrefix="0" xfId="0"/>
    <xf numFmtId="0" fontId="6" fillId="0" borderId="0" pivotButton="0" quotePrefix="0" xfId="0"/>
    <xf numFmtId="164" fontId="7" fillId="3" borderId="1" pivotButton="0" quotePrefix="0" xfId="0"/>
    <xf numFmtId="0" fontId="8" fillId="0" borderId="0" pivotButton="0" quotePrefix="0" xfId="0"/>
    <xf numFmtId="164" fontId="6" fillId="0" borderId="1" pivotButton="0" quotePrefix="0" xfId="0"/>
    <xf numFmtId="165" fontId="7" fillId="3" borderId="1" pivotButton="0" quotePrefix="0" xfId="0"/>
    <xf numFmtId="166" fontId="7" fillId="3" borderId="1" pivotButton="0" quotePrefix="0" xfId="0"/>
    <xf numFmtId="165" fontId="6" fillId="4" borderId="1" pivotButton="0" quotePrefix="0" xfId="0"/>
    <xf numFmtId="167" fontId="6" fillId="4" borderId="1" pivotButton="0" quotePrefix="0" xfId="0"/>
    <xf numFmtId="166" fontId="6" fillId="0" borderId="1" pivotButton="0" quotePrefix="0" xfId="0"/>
    <xf numFmtId="168" fontId="7" fillId="3" borderId="1" pivotButton="0" quotePrefix="0" xfId="0"/>
    <xf numFmtId="167" fontId="9" fillId="4" borderId="1" pivotButton="0" quotePrefix="0" xfId="0"/>
    <xf numFmtId="167" fontId="6" fillId="0" borderId="1" pivotButton="0" quotePrefix="0" xfId="0"/>
    <xf numFmtId="166" fontId="9" fillId="0" borderId="1" pivotButton="0" quotePrefix="0" xfId="0"/>
    <xf numFmtId="165" fontId="6" fillId="0" borderId="1" pivotButton="0" quotePrefix="0" xfId="0"/>
    <xf numFmtId="165" fontId="9" fillId="0" borderId="1" pivotButton="0" quotePrefix="0" xfId="0"/>
    <xf numFmtId="0" fontId="4" fillId="3" borderId="1" pivotButton="0" quotePrefix="0" xfId="0"/>
    <xf numFmtId="164" fontId="6" fillId="4" borderId="1" pivotButton="0" quotePrefix="0" xfId="0"/>
    <xf numFmtId="0" fontId="4" fillId="2" borderId="1" applyAlignment="1" pivotButton="0" quotePrefix="0" xfId="0">
      <alignment vertical="center" wrapText="1"/>
    </xf>
    <xf numFmtId="164" fontId="7" fillId="0" borderId="1" pivotButton="0" quotePrefix="0" xfId="0"/>
    <xf numFmtId="164" fontId="7" fillId="4" borderId="1" pivotButton="0" quotePrefix="0" xfId="0"/>
    <xf numFmtId="0" fontId="10" fillId="0" borderId="0" pivotButton="0" quotePrefix="0" xfId="0"/>
    <xf numFmtId="166" fontId="7" fillId="0" borderId="1" pivotButton="0" quotePrefix="0" xfId="0"/>
    <xf numFmtId="0" fontId="4" fillId="0" borderId="1" pivotButton="0" quotePrefix="0" xfId="0"/>
    <xf numFmtId="166" fontId="7" fillId="4" borderId="1" pivotButton="0" quotePrefix="0" xfId="0"/>
    <xf numFmtId="0" fontId="4" fillId="4" borderId="1" pivotButton="0" quotePrefix="0" xfId="0"/>
    <xf numFmtId="0" fontId="11" fillId="0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12" fillId="0" borderId="0" pivotButton="0" quotePrefix="0" xfId="0"/>
    <xf numFmtId="0" fontId="6" fillId="0" borderId="1" pivotButton="0" quotePrefix="0" xfId="0"/>
    <xf numFmtId="0" fontId="6" fillId="5" borderId="1" pivotButton="0" quotePrefix="0" xfId="0"/>
    <xf numFmtId="0" fontId="4" fillId="5" borderId="1" pivotButton="0" quotePrefix="0" xfId="0"/>
    <xf numFmtId="0" fontId="5" fillId="5" borderId="0" pivotButton="0" quotePrefix="0" xfId="0"/>
    <xf numFmtId="0" fontId="6" fillId="6" borderId="1" pivotButton="0" quotePrefix="0" xfId="0"/>
    <xf numFmtId="0" fontId="4" fillId="6" borderId="1" pivotButton="0" quotePrefix="0" xfId="0"/>
    <xf numFmtId="0" fontId="5" fillId="6" borderId="0" pivotButton="0" quotePrefix="0" xfId="0"/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5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Model</author>
  </authors>
  <commentList>
    <comment ref="C15" authorId="0" shapeId="0">
      <text>
        <t>UNKNOWN. Not supplied and not in the repo.
Model assumes 0 (worst case) until Aaron provides it.
Everything downstream depends on this cell.</t>
      </text>
    </comment>
    <comment ref="C30" authorId="0" shapeId="0">
      <text>
        <t>Model uses 20% because the pain-signal matrix filters FOR mobile-reachable owners.
This is a structural advantage, not optimism.
Source: skipcall.io connect rate benchmarks; Gong Labs via prospeo.io</t>
      </text>
    </comment>
    <comment ref="C31" authorId="0" shapeId="0">
      <text>
        <t>RISKIEST ASSUMPTION IN THE MODEL.
15% is near top quartile. Justified only if the signal research
makes openers categorically better. UNPROVEN until Phase 3.
At 4.6% the dial requirement triples.</t>
      </text>
    </comment>
    <comment ref="C32" authorId="0" shapeId="0">
      <text>
        <t>No published benchmark found for this stage in this motion.
Treat as a guess to be measured in Phase 3.</t>
      </text>
    </comment>
    <comment ref="C33" authorId="0" shapeId="0">
      <text>
        <t>Target of 30% is TOP QUARTILE for a $30K ACV deal.
Above 40% sustained = evidence of underpricing (see Pricing tab).
Source: optif.ai 939 companies; zenitdata; landbase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4" customWidth="1" min="3" max="3"/>
    <col width="13" customWidth="1" min="4" max="4"/>
    <col width="13" customWidth="1" min="5" max="5"/>
    <col width="58" customWidth="1" min="6" max="6"/>
  </cols>
  <sheetData>
    <row r="2">
      <c r="B2" s="1" t="inlineStr">
        <is>
          <t>Leep AI — Path to $50K Exit MRR</t>
        </is>
      </c>
    </row>
    <row r="3">
      <c r="B3" s="2" t="inlineStr">
        <is>
          <t>Funnel and revenue model, reverse-engineered from the 31 Dec 2026 target</t>
        </is>
      </c>
    </row>
    <row r="5">
      <c r="B5" s="3" t="inlineStr">
        <is>
          <t>HOW TO USE THIS MODEL</t>
        </is>
      </c>
    </row>
    <row r="6">
      <c r="B6" s="4" t="inlineStr">
        <is>
          <t>Edit only the yellow cells.</t>
        </is>
      </c>
      <c r="F6" s="5" t="inlineStr">
        <is>
          <t>Blue text = an input you set. Black text = a formula, leave it alone.</t>
        </is>
      </c>
    </row>
    <row r="7">
      <c r="B7" s="4" t="inlineStr">
        <is>
          <t>Green text</t>
        </is>
      </c>
      <c r="F7" s="5" t="inlineStr">
        <is>
          <t>means the cell pulls from another sheet.</t>
        </is>
      </c>
    </row>
    <row r="8">
      <c r="B8" s="4" t="inlineStr">
        <is>
          <t>Start here:</t>
        </is>
      </c>
      <c r="F8" s="5" t="inlineStr">
        <is>
          <t>set Current MRR in C12. That single number drives the whole model.</t>
        </is>
      </c>
    </row>
    <row r="9">
      <c r="B9" s="4" t="inlineStr">
        <is>
          <t>Then:</t>
        </is>
      </c>
      <c r="F9" s="5" t="inlineStr">
        <is>
          <t>set your Blended ACV in C16 and re-read the Funnel tab.</t>
        </is>
      </c>
    </row>
    <row r="10">
      <c r="B10" s="4" t="inlineStr">
        <is>
          <t>After the Phase 3 pilot:</t>
        </is>
      </c>
      <c r="F10" s="5" t="inlineStr">
        <is>
          <t>replace the four benchmark conversion rates in C22:C25 with your measured numbers.</t>
        </is>
      </c>
    </row>
    <row r="12">
      <c r="B12" s="3" t="inlineStr">
        <is>
          <t>THE GOAL</t>
        </is>
      </c>
    </row>
    <row r="13">
      <c r="B13" s="6" t="inlineStr">
        <is>
          <t>Input</t>
        </is>
      </c>
      <c r="C13" s="6" t="inlineStr">
        <is>
          <t>Value</t>
        </is>
      </c>
      <c r="F13" s="6" t="inlineStr">
        <is>
          <t>Source / note</t>
        </is>
      </c>
    </row>
    <row r="14">
      <c r="B14" s="7" t="inlineStr">
        <is>
          <t>Target exit MRR at 31 Dec 2026</t>
        </is>
      </c>
      <c r="C14" s="8" t="n">
        <v>50000</v>
      </c>
      <c r="F14" s="5" t="inlineStr">
        <is>
          <t>Stated goal. Exit run-rate, not cumulative collected revenue.</t>
        </is>
      </c>
    </row>
    <row r="15">
      <c r="B15" s="4" t="inlineStr">
        <is>
          <t>Current MRR  &lt;&lt;&lt; SET THIS FIRST</t>
        </is>
      </c>
      <c r="C15" s="8" t="n">
        <v>0</v>
      </c>
      <c r="F15" s="9" t="inlineStr">
        <is>
          <t>NOT PROVIDED. Assumed 0 = worst case. Ask Aaron.</t>
        </is>
      </c>
    </row>
    <row r="16">
      <c r="B16" s="7" t="inlineStr">
        <is>
          <t>Incremental MRR required</t>
        </is>
      </c>
      <c r="C16" s="10">
        <f>MAX(0,C14-C15)</f>
        <v/>
      </c>
    </row>
    <row r="17">
      <c r="B17" s="7" t="inlineStr">
        <is>
          <t>Months remaining</t>
        </is>
      </c>
      <c r="C17" s="11" t="n">
        <v>4</v>
      </c>
      <c r="F17" s="5" t="inlineStr">
        <is>
          <t>Aug through Dec 2026.</t>
        </is>
      </c>
    </row>
    <row r="19">
      <c r="B19" s="3" t="inlineStr">
        <is>
          <t>DEAL ECONOMICS</t>
        </is>
      </c>
    </row>
    <row r="20">
      <c r="B20" s="6" t="inlineStr">
        <is>
          <t>Input</t>
        </is>
      </c>
      <c r="C20" s="6" t="inlineStr">
        <is>
          <t>Value</t>
        </is>
      </c>
      <c r="F20" s="6" t="inlineStr">
        <is>
          <t>Source / note</t>
        </is>
      </c>
    </row>
    <row r="21">
      <c r="B21" s="4" t="inlineStr">
        <is>
          <t>Blended ACV per month</t>
        </is>
      </c>
      <c r="C21" s="8" t="n">
        <v>2500</v>
      </c>
      <c r="F21" s="5" t="inlineStr">
        <is>
          <t>Group tier. Market: $295-595 standalone, $750+ multi-location, $797-1,497 managed. $1,000+ requires a bundle.</t>
        </is>
      </c>
    </row>
    <row r="22">
      <c r="B22" s="7" t="inlineStr">
        <is>
          <t>Annualised contract value</t>
        </is>
      </c>
      <c r="C22" s="10">
        <f>C21*12</f>
        <v/>
      </c>
      <c r="F22" s="5" t="inlineStr">
        <is>
          <t>Determines which win-rate benchmark band applies.</t>
        </is>
      </c>
    </row>
    <row r="23">
      <c r="B23" s="7" t="inlineStr">
        <is>
          <t>Gross margin</t>
        </is>
      </c>
      <c r="C23" s="12" t="n">
        <v>0.65</v>
      </c>
      <c r="F23" s="5" t="inlineStr">
        <is>
          <t>Agency reseller margins run 50-80% gross, 65-80% net at steady state.</t>
        </is>
      </c>
    </row>
    <row r="24">
      <c r="B24" s="4" t="inlineStr">
        <is>
          <t>Customers required</t>
        </is>
      </c>
      <c r="C24" s="13">
        <f>IF(C21&lt;=0,0,ROUNDUP(C16/C21,0))</f>
        <v/>
      </c>
    </row>
    <row r="25">
      <c r="B25" s="4" t="inlineStr">
        <is>
          <t>Closes required per month</t>
        </is>
      </c>
      <c r="C25" s="14">
        <f>IF(C17&lt;=0,0,C24/C17)</f>
        <v/>
      </c>
    </row>
    <row r="27">
      <c r="B27" s="3" t="inlineStr">
        <is>
          <t>FUNNEL CONVERSION RATES</t>
        </is>
      </c>
    </row>
    <row r="28">
      <c r="B28" s="2" t="inlineStr">
        <is>
          <t>Replace column C with measured values after the Phase 3 pilot. Columns D and E are the published benchmarks.</t>
        </is>
      </c>
    </row>
    <row r="29">
      <c r="B29" s="6" t="inlineStr">
        <is>
          <t>Stage</t>
        </is>
      </c>
      <c r="C29" s="6" t="inlineStr">
        <is>
          <t>Model</t>
        </is>
      </c>
      <c r="D29" s="6" t="inlineStr">
        <is>
          <t>Benchmark avg</t>
        </is>
      </c>
      <c r="E29" s="6" t="inlineStr">
        <is>
          <t>Top quartile</t>
        </is>
      </c>
      <c r="F29" s="6" t="inlineStr">
        <is>
          <t>Source</t>
        </is>
      </c>
    </row>
    <row r="30">
      <c r="B30" s="7" t="inlineStr">
        <is>
          <t>Dial to live connect</t>
        </is>
      </c>
      <c r="C30" s="12" t="n">
        <v>0.2</v>
      </c>
      <c r="D30" s="15" t="n">
        <v>0.1</v>
      </c>
      <c r="E30" s="15" t="n">
        <v>0.22</v>
      </c>
      <c r="F30" s="5" t="inlineStr">
        <is>
          <t>Gong 300M+ calls: avg 5.4%, top quartile 13.3%. Generic data 8-12%; VERIFIED MOBILE DIRECT-DIAL 18-22%.</t>
        </is>
      </c>
    </row>
    <row r="31">
      <c r="B31" s="7" t="inlineStr">
        <is>
          <t>Connect to meeting booked (set rate)</t>
        </is>
      </c>
      <c r="C31" s="12" t="n">
        <v>0.15</v>
      </c>
      <c r="D31" s="15" t="n">
        <v>0.046</v>
      </c>
      <c r="E31" s="15" t="n">
        <v>0.167</v>
      </c>
      <c r="F31" s="5" t="inlineStr">
        <is>
          <t>Gong 300M+ calls: average set rate 4.6%, top quartile 16.7%.</t>
        </is>
      </c>
    </row>
    <row r="32">
      <c r="B32" s="7" t="inlineStr">
        <is>
          <t>Meeting to qualified opportunity</t>
        </is>
      </c>
      <c r="C32" s="12" t="n">
        <v>0.6</v>
      </c>
      <c r="D32" s="15" t="n">
        <v>0.5</v>
      </c>
      <c r="E32" s="15" t="n">
        <v>0.7</v>
      </c>
      <c r="F32" s="5" t="inlineStr">
        <is>
          <t>Assumption, not benchmarked. Signal-qualified pipeline should beat generic inbound.</t>
        </is>
      </c>
    </row>
    <row r="33">
      <c r="B33" s="7" t="inlineStr">
        <is>
          <t>Qualified opportunity to close</t>
        </is>
      </c>
      <c r="C33" s="12" t="n">
        <v>0.3</v>
      </c>
      <c r="D33" s="15" t="n">
        <v>0.24</v>
      </c>
      <c r="E33" s="15" t="n">
        <v>0.35</v>
      </c>
      <c r="F33" s="5" t="inlineStr">
        <is>
          <t>$10-50K ACV band: 20-28%. Sub-$10K: 28-35%. Overall B2B avg 21%, SMB 31%.</t>
        </is>
      </c>
    </row>
    <row r="35">
      <c r="B35" s="3" t="inlineStr">
        <is>
          <t>CAPACITY AND COST</t>
        </is>
      </c>
    </row>
    <row r="36">
      <c r="B36" s="6" t="inlineStr">
        <is>
          <t>Input</t>
        </is>
      </c>
      <c r="C36" s="6" t="inlineStr">
        <is>
          <t>Value</t>
        </is>
      </c>
      <c r="F36" s="6" t="inlineStr">
        <is>
          <t>Source / note</t>
        </is>
      </c>
    </row>
    <row r="37">
      <c r="B37" s="7" t="inlineStr">
        <is>
          <t>Number of callers</t>
        </is>
      </c>
      <c r="C37" s="11" t="n">
        <v>2</v>
      </c>
      <c r="F37" s="5" t="inlineStr">
        <is>
          <t>Aaron + Alec. Add a dedicated dialer to raise this.</t>
        </is>
      </c>
    </row>
    <row r="38">
      <c r="B38" s="7" t="inlineStr">
        <is>
          <t>Selling days per month</t>
        </is>
      </c>
      <c r="C38" s="11" t="n">
        <v>20</v>
      </c>
    </row>
    <row r="39">
      <c r="B39" s="7" t="inlineStr">
        <is>
          <t>Sustainable dials per person per day</t>
        </is>
      </c>
      <c r="C39" s="11" t="n">
        <v>40</v>
      </c>
      <c r="F39" s="5" t="inlineStr">
        <is>
          <t>Realistic ceiling for someone who also closes and delivers. A full-time dialer does 80-100.</t>
        </is>
      </c>
    </row>
    <row r="40">
      <c r="B40" s="7" t="inlineStr">
        <is>
          <t>Data cost per qualified prospect</t>
        </is>
      </c>
      <c r="C40" s="16" t="n">
        <v>2</v>
      </c>
      <c r="F40" s="5" t="inlineStr">
        <is>
          <t>Outscraper $3/1K, Apify $1.50/1K, Coresignal $49/mo, Apollo $49/mo. Verify in Phase 1.</t>
        </is>
      </c>
    </row>
    <row r="42">
      <c r="B42" s="2" t="inlineStr">
        <is>
          <t>Sources: all benchmark figures are cited secondary research, not audited data. Treat as priors to test in Phase 3.</t>
        </is>
      </c>
    </row>
    <row r="43">
      <c r="B43" s="2" t="inlineStr">
        <is>
          <t>Full citations in prospecting/03-deployment-plan-50k-mrr.md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5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2">
      <c r="B2" s="1" t="inlineStr">
        <is>
          <t>Funnel Requirements</t>
        </is>
      </c>
    </row>
    <row r="3">
      <c r="B3" s="2" t="inlineStr">
        <is>
          <t>Worked backwards from closes required. Compare the Model case against the Benchmark case.</t>
        </is>
      </c>
    </row>
    <row r="5">
      <c r="B5" s="6" t="inlineStr">
        <is>
          <t>Stage</t>
        </is>
      </c>
      <c r="C5" s="6" t="inlineStr">
        <is>
          <t>Per month</t>
        </is>
      </c>
      <c r="D5" s="6" t="inlineStr">
        <is>
          <t>Per week</t>
        </is>
      </c>
      <c r="E5" s="6" t="inlineStr">
        <is>
          <t>Conv. rate</t>
        </is>
      </c>
      <c r="G5" s="6" t="inlineStr">
        <is>
          <t>Read this</t>
        </is>
      </c>
    </row>
    <row r="6">
      <c r="B6" s="4" t="inlineStr">
        <is>
          <t>Closed customers</t>
        </is>
      </c>
      <c r="C6" s="17">
        <f>Assumptions!C25</f>
        <v/>
      </c>
      <c r="D6" s="18">
        <f>C6/4.33</f>
        <v/>
      </c>
      <c r="G6" s="5" t="inlineStr">
        <is>
          <t>The target, from the Assumptions tab.</t>
        </is>
      </c>
    </row>
    <row r="7">
      <c r="B7" s="7" t="inlineStr">
        <is>
          <t>Qualified opportunities</t>
        </is>
      </c>
      <c r="C7" s="18">
        <f>IF(Assumptions!C33&lt;=0,0,C6/Assumptions!C33)</f>
        <v/>
      </c>
      <c r="D7" s="18">
        <f>C7/4.33</f>
        <v/>
      </c>
      <c r="E7" s="19">
        <f>Assumptions!C33</f>
        <v/>
      </c>
      <c r="G7" s="5" t="inlineStr">
        <is>
          <t>A real discovery call with a fit prospect.</t>
        </is>
      </c>
    </row>
    <row r="8">
      <c r="B8" s="7" t="inlineStr">
        <is>
          <t>Meetings booked</t>
        </is>
      </c>
      <c r="C8" s="18">
        <f>IF(Assumptions!C32&lt;=0,0,C7/Assumptions!C32)</f>
        <v/>
      </c>
      <c r="D8" s="18">
        <f>C8/4.33</f>
        <v/>
      </c>
      <c r="E8" s="19">
        <f>Assumptions!C32</f>
        <v/>
      </c>
    </row>
    <row r="9">
      <c r="B9" s="7" t="inlineStr">
        <is>
          <t>Live connects</t>
        </is>
      </c>
      <c r="C9" s="20">
        <f>IF(Assumptions!C31&lt;=0,0,C8/Assumptions!C31)</f>
        <v/>
      </c>
      <c r="D9" s="20">
        <f>C9/4.33</f>
        <v/>
      </c>
      <c r="E9" s="19">
        <f>Assumptions!C31</f>
        <v/>
      </c>
      <c r="G9" s="5" t="inlineStr">
        <is>
          <t>Conversations with a decision maker.</t>
        </is>
      </c>
    </row>
    <row r="10">
      <c r="B10" s="4" t="inlineStr">
        <is>
          <t>Dials required</t>
        </is>
      </c>
      <c r="C10" s="13">
        <f>IF(Assumptions!C30&lt;=0,0,C9/Assumptions!C30)</f>
        <v/>
      </c>
      <c r="D10" s="20">
        <f>C10/4.33</f>
        <v/>
      </c>
      <c r="E10" s="19">
        <f>Assumptions!C30</f>
        <v/>
      </c>
    </row>
    <row r="12">
      <c r="B12" s="3" t="inlineStr">
        <is>
          <t>CAPACITY CHECK</t>
        </is>
      </c>
    </row>
    <row r="13">
      <c r="B13" s="6" t="inlineStr">
        <is>
          <t>Metric</t>
        </is>
      </c>
      <c r="C13" s="6" t="inlineStr">
        <is>
          <t>Value</t>
        </is>
      </c>
      <c r="G13" s="6" t="inlineStr">
        <is>
          <t>Read this</t>
        </is>
      </c>
    </row>
    <row r="14">
      <c r="B14" s="7" t="inlineStr">
        <is>
          <t>Dials per day, whole team</t>
        </is>
      </c>
      <c r="C14" s="20">
        <f>IF(Assumptions!C38&lt;=0,0,C10/Assumptions!C38)</f>
        <v/>
      </c>
    </row>
    <row r="15">
      <c r="B15" s="4" t="inlineStr">
        <is>
          <t>Dials per person per day</t>
        </is>
      </c>
      <c r="C15" s="13">
        <f>IF(Assumptions!C37&lt;=0,0,C14/Assumptions!C37)</f>
        <v/>
      </c>
    </row>
    <row r="16">
      <c r="B16" s="7" t="inlineStr">
        <is>
          <t>Sustainable capacity per person per day</t>
        </is>
      </c>
      <c r="C16" s="21">
        <f>Assumptions!C39</f>
        <v/>
      </c>
    </row>
    <row r="17">
      <c r="B17" s="4" t="inlineStr">
        <is>
          <t>Verdict</t>
        </is>
      </c>
      <c r="C17" s="22">
        <f>IF(C15&lt;=C16,"FEASIBLE","OVER CAPACITY")</f>
        <v/>
      </c>
      <c r="G17" s="5" t="inlineStr">
        <is>
          <t>If OVER CAPACITY: raise ACV, add a caller, or extend the timeline. Trying harder will not close the gap.</t>
        </is>
      </c>
    </row>
    <row r="18">
      <c r="B18" s="7" t="inlineStr">
        <is>
          <t>Extra callers needed</t>
        </is>
      </c>
      <c r="C18" s="20">
        <f>IF(Assumptions!C39&lt;=0,0,MAX(0,ROUNDUP(C14/Assumptions!C39,0)-Assumptions!C37))</f>
        <v/>
      </c>
    </row>
    <row r="20">
      <c r="B20" s="3" t="inlineStr">
        <is>
          <t>ECONOMICS</t>
        </is>
      </c>
    </row>
    <row r="21">
      <c r="B21" s="6" t="inlineStr">
        <is>
          <t>Metric</t>
        </is>
      </c>
      <c r="C21" s="6" t="inlineStr">
        <is>
          <t>Value</t>
        </is>
      </c>
      <c r="G21" s="6" t="inlineStr">
        <is>
          <t>Read this</t>
        </is>
      </c>
    </row>
    <row r="22">
      <c r="B22" s="7" t="inlineStr">
        <is>
          <t>Monthly data cost</t>
        </is>
      </c>
      <c r="C22" s="10">
        <f>C10*Assumptions!C40</f>
        <v/>
      </c>
      <c r="G22" s="5" t="inlineStr">
        <is>
          <t>One prospect researched per dial attempted.</t>
        </is>
      </c>
    </row>
    <row r="23">
      <c r="B23" s="7" t="inlineStr">
        <is>
          <t>Data cost per customer acquired</t>
        </is>
      </c>
      <c r="C23" s="10">
        <f>IF(C6&lt;=0,0,C22/C6)</f>
        <v/>
      </c>
      <c r="G23" s="5" t="inlineStr">
        <is>
          <t>Excludes labour, tools and platform fees. This is a floor, not a CAC.</t>
        </is>
      </c>
    </row>
    <row r="24">
      <c r="B24" s="4" t="inlineStr">
        <is>
          <t>Gross profit at target MRR</t>
        </is>
      </c>
      <c r="C24" s="23">
        <f>Assumptions!C14*Assumptions!C23</f>
        <v/>
      </c>
      <c r="G24" s="5" t="inlineStr">
        <is>
          <t>$50K MRR is not $50K of profit. Before your own time and the tool stack.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4" customWidth="1" min="9" max="9"/>
  </cols>
  <sheetData>
    <row r="2">
      <c r="B2" s="1" t="inlineStr">
        <is>
          <t>Scenarios</t>
        </is>
      </c>
    </row>
    <row r="3">
      <c r="B3" s="2" t="inlineStr">
        <is>
          <t>Two independent views. Table 1: how ACV changes the customer count. Table 2: how the set rate changes the dial load.</t>
        </is>
      </c>
    </row>
    <row r="5">
      <c r="B5" s="3" t="inlineStr">
        <is>
          <t>TABLE 1 — Price is the biggest lever</t>
        </is>
      </c>
    </row>
    <row r="6">
      <c r="B6" s="2" t="inlineStr">
        <is>
          <t>Uses the incremental MRR gap and conversion rates from the Assumptions tab.</t>
        </is>
      </c>
    </row>
    <row r="7">
      <c r="B7" s="24" t="inlineStr">
        <is>
          <t>Blended ACV/mo</t>
        </is>
      </c>
      <c r="C7" s="24" t="inlineStr">
        <is>
          <t>Annual ACV</t>
        </is>
      </c>
      <c r="D7" s="24" t="inlineStr">
        <is>
          <t>Customers</t>
        </is>
      </c>
      <c r="E7" s="24" t="inlineStr">
        <is>
          <t>Closes/mo</t>
        </is>
      </c>
      <c r="F7" s="24" t="inlineStr">
        <is>
          <t>Opps/mo</t>
        </is>
      </c>
      <c r="G7" s="24" t="inlineStr">
        <is>
          <t>Dials/mo</t>
        </is>
      </c>
      <c r="H7" s="24" t="inlineStr">
        <is>
          <t>Dials/person/day</t>
        </is>
      </c>
    </row>
    <row r="8">
      <c r="B8" s="25" t="n">
        <v>1000</v>
      </c>
      <c r="C8" s="10">
        <f>B8*12</f>
        <v/>
      </c>
      <c r="D8" s="20">
        <f>ROUNDUP(Assumptions!$C$16/B8,0)</f>
        <v/>
      </c>
      <c r="E8" s="18">
        <f>D8/Assumptions!$C$17</f>
        <v/>
      </c>
      <c r="F8" s="18">
        <f>E8/Assumptions!$C$33</f>
        <v/>
      </c>
      <c r="G8" s="20">
        <f>F8/Assumptions!$C$32/Assumptions!$C$31/Assumptions!$C$30</f>
        <v/>
      </c>
      <c r="H8" s="20">
        <f>G8/Assumptions!$C$38/Assumptions!$C$37</f>
        <v/>
      </c>
      <c r="I8" s="5" t="inlineStr">
        <is>
          <t>Below market for a bundle. Needs 50 customers.</t>
        </is>
      </c>
    </row>
    <row r="9">
      <c r="B9" s="25" t="n">
        <v>1500</v>
      </c>
      <c r="C9" s="10">
        <f>B9*12</f>
        <v/>
      </c>
      <c r="D9" s="20">
        <f>ROUNDUP(Assumptions!$C$16/B9,0)</f>
        <v/>
      </c>
      <c r="E9" s="18">
        <f>D9/Assumptions!$C$17</f>
        <v/>
      </c>
      <c r="F9" s="18">
        <f>E9/Assumptions!$C$33</f>
        <v/>
      </c>
      <c r="G9" s="20">
        <f>F9/Assumptions!$C$32/Assumptions!$C$31/Assumptions!$C$30</f>
        <v/>
      </c>
      <c r="H9" s="20">
        <f>G9/Assumptions!$C$38/Assumptions!$C$37</f>
        <v/>
      </c>
    </row>
    <row r="10">
      <c r="B10" s="25" t="n">
        <v>2000</v>
      </c>
      <c r="C10" s="10">
        <f>B10*12</f>
        <v/>
      </c>
      <c r="D10" s="20">
        <f>ROUNDUP(Assumptions!$C$16/B10,0)</f>
        <v/>
      </c>
      <c r="E10" s="18">
        <f>D10/Assumptions!$C$17</f>
        <v/>
      </c>
      <c r="F10" s="18">
        <f>E10/Assumptions!$C$33</f>
        <v/>
      </c>
      <c r="G10" s="20">
        <f>F10/Assumptions!$C$32/Assumptions!$C$31/Assumptions!$C$30</f>
        <v/>
      </c>
      <c r="H10" s="20">
        <f>G10/Assumptions!$C$38/Assumptions!$C$37</f>
        <v/>
      </c>
    </row>
    <row r="11">
      <c r="B11" s="26" t="n">
        <v>2500</v>
      </c>
      <c r="C11" s="23">
        <f>B11*12</f>
        <v/>
      </c>
      <c r="D11" s="13">
        <f>ROUNDUP(Assumptions!$C$16/B11,0)</f>
        <v/>
      </c>
      <c r="E11" s="14">
        <f>D11/Assumptions!$C$17</f>
        <v/>
      </c>
      <c r="F11" s="14">
        <f>E11/Assumptions!$C$33</f>
        <v/>
      </c>
      <c r="G11" s="13">
        <f>F11/Assumptions!$C$32/Assumptions!$C$31/Assumptions!$C$30</f>
        <v/>
      </c>
      <c r="H11" s="13">
        <f>G11/Assumptions!$C$38/Assumptions!$C$37</f>
        <v/>
      </c>
      <c r="I11" s="27" t="inlineStr">
        <is>
          <t>&lt;&lt; Base case. Group tier, 3-8 location med spa.</t>
        </is>
      </c>
    </row>
    <row r="12">
      <c r="B12" s="25" t="n">
        <v>3000</v>
      </c>
      <c r="C12" s="10">
        <f>B12*12</f>
        <v/>
      </c>
      <c r="D12" s="20">
        <f>ROUNDUP(Assumptions!$C$16/B12,0)</f>
        <v/>
      </c>
      <c r="E12" s="18">
        <f>D12/Assumptions!$C$17</f>
        <v/>
      </c>
      <c r="F12" s="18">
        <f>E12/Assumptions!$C$33</f>
        <v/>
      </c>
      <c r="G12" s="20">
        <f>F12/Assumptions!$C$32/Assumptions!$C$31/Assumptions!$C$30</f>
        <v/>
      </c>
      <c r="H12" s="20">
        <f>G12/Assumptions!$C$38/Assumptions!$C$37</f>
        <v/>
      </c>
    </row>
    <row r="13">
      <c r="B13" s="25" t="n">
        <v>4000</v>
      </c>
      <c r="C13" s="10">
        <f>B13*12</f>
        <v/>
      </c>
      <c r="D13" s="20">
        <f>ROUNDUP(Assumptions!$C$16/B13,0)</f>
        <v/>
      </c>
      <c r="E13" s="18">
        <f>D13/Assumptions!$C$17</f>
        <v/>
      </c>
      <c r="F13" s="18">
        <f>E13/Assumptions!$C$33</f>
        <v/>
      </c>
      <c r="G13" s="20">
        <f>F13/Assumptions!$C$32/Assumptions!$C$31/Assumptions!$C$30</f>
        <v/>
      </c>
      <c r="H13" s="20">
        <f>G13/Assumptions!$C$38/Assumptions!$C$37</f>
        <v/>
      </c>
    </row>
    <row r="14">
      <c r="B14" s="25" t="n">
        <v>5000</v>
      </c>
      <c r="C14" s="10">
        <f>B14*12</f>
        <v/>
      </c>
      <c r="D14" s="20">
        <f>ROUNDUP(Assumptions!$C$16/B14,0)</f>
        <v/>
      </c>
      <c r="E14" s="18">
        <f>D14/Assumptions!$C$17</f>
        <v/>
      </c>
      <c r="F14" s="18">
        <f>E14/Assumptions!$C$33</f>
        <v/>
      </c>
      <c r="G14" s="20">
        <f>F14/Assumptions!$C$32/Assumptions!$C$31/Assumptions!$C$30</f>
        <v/>
      </c>
      <c r="H14" s="20">
        <f>G14/Assumptions!$C$38/Assumptions!$C$37</f>
        <v/>
      </c>
    </row>
    <row r="17">
      <c r="B17" s="3" t="inlineStr">
        <is>
          <t>TABLE 2 — The set rate is the riskiest assumption</t>
        </is>
      </c>
    </row>
    <row r="18">
      <c r="B18" s="2" t="inlineStr">
        <is>
          <t>Holds ACV at the Assumptions value. Only the connect-to-meeting rate varies.</t>
        </is>
      </c>
    </row>
    <row r="19">
      <c r="B19" s="24" t="inlineStr">
        <is>
          <t>Set rate</t>
        </is>
      </c>
      <c r="C19" s="24" t="inlineStr">
        <is>
          <t>Connects/mo</t>
        </is>
      </c>
      <c r="D19" s="24" t="inlineStr">
        <is>
          <t>Dials/mo</t>
        </is>
      </c>
      <c r="E19" s="24" t="inlineStr">
        <is>
          <t>Dials/day team</t>
        </is>
      </c>
      <c r="F19" s="24" t="inlineStr">
        <is>
          <t>Dials/person/day</t>
        </is>
      </c>
      <c r="G19" s="24" t="inlineStr">
        <is>
          <t>Verdict</t>
        </is>
      </c>
    </row>
    <row r="20">
      <c r="B20" s="28" t="n">
        <v>0.046</v>
      </c>
      <c r="C20" s="20">
        <f>Funnel!$C$8/B20</f>
        <v/>
      </c>
      <c r="D20" s="20">
        <f>C20/Assumptions!$C$30</f>
        <v/>
      </c>
      <c r="E20" s="20">
        <f>D20/Assumptions!$C$38</f>
        <v/>
      </c>
      <c r="F20" s="20">
        <f>E20/Assumptions!$C$37</f>
        <v/>
      </c>
      <c r="G20" s="29">
        <f>IF(F20&lt;=Assumptions!$C$39,"FEASIBLE","OVER CAPACITY")</f>
        <v/>
      </c>
      <c r="I20" s="5" t="inlineStr">
        <is>
          <t>Gong average across 300M+ calls</t>
        </is>
      </c>
    </row>
    <row r="21">
      <c r="B21" s="28" t="n">
        <v>0.07000000000000001</v>
      </c>
      <c r="C21" s="20">
        <f>Funnel!$C$8/B21</f>
        <v/>
      </c>
      <c r="D21" s="20">
        <f>C21/Assumptions!$C$30</f>
        <v/>
      </c>
      <c r="E21" s="20">
        <f>D21/Assumptions!$C$38</f>
        <v/>
      </c>
      <c r="F21" s="20">
        <f>E21/Assumptions!$C$37</f>
        <v/>
      </c>
      <c r="G21" s="29">
        <f>IF(F21&lt;=Assumptions!$C$39,"FEASIBLE","OVER CAPACITY")</f>
        <v/>
      </c>
      <c r="I21" s="5" t="inlineStr">
        <is>
          <t>Modest lift over average</t>
        </is>
      </c>
    </row>
    <row r="22">
      <c r="B22" s="28" t="n">
        <v>0.1</v>
      </c>
      <c r="C22" s="20">
        <f>Funnel!$C$8/B22</f>
        <v/>
      </c>
      <c r="D22" s="20">
        <f>C22/Assumptions!$C$30</f>
        <v/>
      </c>
      <c r="E22" s="20">
        <f>D22/Assumptions!$C$38</f>
        <v/>
      </c>
      <c r="F22" s="20">
        <f>E22/Assumptions!$C$37</f>
        <v/>
      </c>
      <c r="G22" s="29">
        <f>IF(F22&lt;=Assumptions!$C$39,"FEASIBLE","OVER CAPACITY")</f>
        <v/>
      </c>
      <c r="I22" s="5" t="inlineStr">
        <is>
          <t>Strong performance</t>
        </is>
      </c>
    </row>
    <row r="23">
      <c r="B23" s="30" t="n">
        <v>0.15</v>
      </c>
      <c r="C23" s="13">
        <f>Funnel!$C$8/B23</f>
        <v/>
      </c>
      <c r="D23" s="13">
        <f>C23/Assumptions!$C$30</f>
        <v/>
      </c>
      <c r="E23" s="13">
        <f>D23/Assumptions!$C$38</f>
        <v/>
      </c>
      <c r="F23" s="13">
        <f>E23/Assumptions!$C$37</f>
        <v/>
      </c>
      <c r="G23" s="31">
        <f>IF(F23&lt;=Assumptions!$C$39,"FEASIBLE","OVER CAPACITY")</f>
        <v/>
      </c>
      <c r="I23" s="5" t="inlineStr">
        <is>
          <t>Model base case - near top quartile</t>
        </is>
      </c>
    </row>
    <row r="24">
      <c r="B24" s="28" t="n">
        <v>0.167</v>
      </c>
      <c r="C24" s="20">
        <f>Funnel!$C$8/B24</f>
        <v/>
      </c>
      <c r="D24" s="20">
        <f>C24/Assumptions!$C$30</f>
        <v/>
      </c>
      <c r="E24" s="20">
        <f>D24/Assumptions!$C$38</f>
        <v/>
      </c>
      <c r="F24" s="20">
        <f>E24/Assumptions!$C$37</f>
        <v/>
      </c>
      <c r="G24" s="29">
        <f>IF(F24&lt;=Assumptions!$C$39,"FEASIBLE","OVER CAPACITY")</f>
        <v/>
      </c>
      <c r="I24" s="5" t="inlineStr">
        <is>
          <t>Gong top quartile</t>
        </is>
      </c>
    </row>
    <row r="27">
      <c r="B27" s="32" t="inlineStr">
        <is>
          <t>The gap between the top and bottom rows of Table 2 is the single largest uncertainty in the plan.</t>
        </is>
      </c>
    </row>
    <row r="28">
      <c r="B28" s="2" t="inlineStr">
        <is>
          <t>This is why the Phase 3 pilot exists. Measure it before committing to Phase 4 volume.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40" customWidth="1" min="3" max="3"/>
    <col width="13" customWidth="1" min="4" max="4"/>
    <col width="13" customWidth="1" min="5" max="5"/>
    <col width="13" customWidth="1" min="6" max="6"/>
    <col width="42" customWidth="1" min="7" max="7"/>
  </cols>
  <sheetData>
    <row r="2">
      <c r="B2" s="1" t="inlineStr">
        <is>
          <t>Price Architecture</t>
        </is>
      </c>
    </row>
    <row r="3">
      <c r="B3" s="2" t="inlineStr">
        <is>
          <t>Market benchmarks and the package ladder. $1,000+/mo is a bundle price, never a single-product price.</t>
        </is>
      </c>
    </row>
    <row r="5">
      <c r="B5" s="3" t="inlineStr">
        <is>
          <t>WHAT THE MARKET PAYS</t>
        </is>
      </c>
    </row>
    <row r="6">
      <c r="B6" s="6" t="inlineStr">
        <is>
          <t>Offer</t>
        </is>
      </c>
      <c r="C6" s="6" t="inlineStr">
        <is>
          <t>Detail</t>
        </is>
      </c>
      <c r="D6" s="6" t="inlineStr">
        <is>
          <t>Low</t>
        </is>
      </c>
      <c r="E6" s="6" t="inlineStr">
        <is>
          <t>High</t>
        </is>
      </c>
      <c r="G6" s="6" t="inlineStr">
        <is>
          <t>Source</t>
        </is>
      </c>
    </row>
    <row r="7">
      <c r="B7" s="7" t="inlineStr">
        <is>
          <t>Self-serve floor</t>
        </is>
      </c>
      <c r="C7" s="5" t="inlineStr">
        <is>
          <t>AIRA, Dialzara, Rosie, Voksha, Trillet, Smith.ai</t>
        </is>
      </c>
      <c r="D7" s="25" t="n">
        <v>25</v>
      </c>
      <c r="E7" s="25" t="n">
        <v>95</v>
      </c>
      <c r="G7" s="5" t="inlineStr">
        <is>
          <t>cloudtalk.io, voksha.com, trillet.ai</t>
        </is>
      </c>
    </row>
    <row r="8">
      <c r="B8" s="7" t="inlineStr">
        <is>
          <t>SMB AI receptionist</t>
        </is>
      </c>
      <c r="C8" s="5" t="inlineStr">
        <is>
          <t>Standard agency-resold, single location</t>
        </is>
      </c>
      <c r="D8" s="25" t="n">
        <v>197</v>
      </c>
      <c r="E8" s="25" t="n">
        <v>597</v>
      </c>
      <c r="G8" s="5" t="inlineStr">
        <is>
          <t>ringlyn.com</t>
        </is>
      </c>
    </row>
    <row r="9">
      <c r="B9" s="7" t="inlineStr">
        <is>
          <t>Agency resold per location</t>
        </is>
      </c>
      <c r="C9" s="5" t="inlineStr">
        <is>
          <t>Typical reseller price point</t>
        </is>
      </c>
      <c r="D9" s="25" t="n">
        <v>295</v>
      </c>
      <c r="E9" s="25" t="n">
        <v>595</v>
      </c>
      <c r="G9" s="5" t="inlineStr">
        <is>
          <t>trillet.ai white label pricing</t>
        </is>
      </c>
    </row>
    <row r="10">
      <c r="B10" s="7" t="inlineStr">
        <is>
          <t>Multi-location practices</t>
        </is>
      </c>
      <c r="C10" s="5" t="inlineStr">
        <is>
          <t>Multi-site or high-value verticals</t>
        </is>
      </c>
      <c r="D10" s="25" t="n">
        <v>750</v>
      </c>
      <c r="E10" s="25" t="n">
        <v>1200</v>
      </c>
      <c r="G10" s="5" t="inlineStr">
        <is>
          <t>trillet.ai</t>
        </is>
      </c>
    </row>
    <row r="11">
      <c r="B11" s="7" t="inlineStr">
        <is>
          <t>Managed, high-ticket vertical</t>
        </is>
      </c>
      <c r="C11" s="5" t="inlineStr">
        <is>
          <t>Managed outbound programmes</t>
        </is>
      </c>
      <c r="D11" s="25" t="n">
        <v>797</v>
      </c>
      <c r="E11" s="25" t="n">
        <v>1497</v>
      </c>
      <c r="G11" s="5" t="inlineStr">
        <is>
          <t>ringlyn.com</t>
        </is>
      </c>
    </row>
    <row r="13">
      <c r="B13" s="3" t="inlineStr">
        <is>
          <t>THE PACKAGE LADDER</t>
        </is>
      </c>
    </row>
    <row r="14">
      <c r="B14" s="6" t="inlineStr">
        <is>
          <t>Tier</t>
        </is>
      </c>
      <c r="C14" s="6" t="inlineStr">
        <is>
          <t>Composition</t>
        </is>
      </c>
      <c r="D14" s="6" t="inlineStr">
        <is>
          <t>Target/mo</t>
        </is>
      </c>
      <c r="E14" s="6" t="inlineStr">
        <is>
          <t>Annual</t>
        </is>
      </c>
      <c r="F14" s="6" t="inlineStr">
        <is>
          <t>Gross profit/yr</t>
        </is>
      </c>
      <c r="G14" s="6" t="inlineStr">
        <is>
          <t>Fits</t>
        </is>
      </c>
    </row>
    <row r="15">
      <c r="B15" s="4" t="inlineStr">
        <is>
          <t>Entry</t>
        </is>
      </c>
      <c r="C15" s="5" t="inlineStr">
        <is>
          <t>One product, single location</t>
        </is>
      </c>
      <c r="D15" s="8" t="n">
        <v>625</v>
      </c>
      <c r="E15" s="10">
        <f>D15*12</f>
        <v/>
      </c>
      <c r="F15" s="10">
        <f>E15*Assumptions!$C$23</f>
        <v/>
      </c>
      <c r="G15" s="5" t="inlineStr">
        <is>
          <t>Referral and inbound only. Do not prospect for this</t>
        </is>
      </c>
    </row>
    <row r="16">
      <c r="B16" s="4" t="inlineStr">
        <is>
          <t>Core</t>
        </is>
      </c>
      <c r="C16" s="5" t="inlineStr">
        <is>
          <t>Reactivation + voice AI, 1-2 locations</t>
        </is>
      </c>
      <c r="D16" s="8" t="n">
        <v>1500</v>
      </c>
      <c r="E16" s="10">
        <f>D16*12</f>
        <v/>
      </c>
      <c r="F16" s="10">
        <f>E16*Assumptions!$C$23</f>
        <v/>
      </c>
      <c r="G16" s="5" t="inlineStr">
        <is>
          <t>High-revenue single-location med spa</t>
        </is>
      </c>
    </row>
    <row r="17">
      <c r="B17" s="33" t="inlineStr">
        <is>
          <t>Group</t>
        </is>
      </c>
      <c r="C17" s="34" t="inlineStr">
        <is>
          <t>Reactivation + voice + chat + hygiene, 3-8 loc</t>
        </is>
      </c>
      <c r="D17" s="8" t="n">
        <v>3250</v>
      </c>
      <c r="E17" s="23">
        <f>D17*12</f>
        <v/>
      </c>
      <c r="F17" s="23">
        <f>E17*Assumptions!$C$23</f>
        <v/>
      </c>
      <c r="G17" s="34" t="inlineStr">
        <is>
          <t>THE SPEARHEAD</t>
        </is>
      </c>
    </row>
    <row r="18">
      <c r="B18" s="4" t="inlineStr">
        <is>
          <t>Value-event</t>
        </is>
      </c>
      <c r="C18" s="5" t="inlineStr">
        <is>
          <t>Group tier + diligence-grade data cleanup</t>
        </is>
      </c>
      <c r="D18" s="8" t="n">
        <v>5000</v>
      </c>
      <c r="E18" s="10">
        <f>D18*12</f>
        <v/>
      </c>
      <c r="F18" s="10">
        <f>E18*Assumptions!$C$23</f>
        <v/>
      </c>
      <c r="G18" s="5" t="inlineStr">
        <is>
          <t>Owner grooming for exit. EBITDA frame</t>
        </is>
      </c>
    </row>
    <row r="20">
      <c r="B20" s="2" t="inlineStr">
        <is>
          <t>Setup and implementation fees are separate and do not count toward MRR. Charge them anyway to fund delivery capacity.</t>
        </is>
      </c>
    </row>
    <row r="22">
      <c r="B22" s="3" t="inlineStr">
        <is>
          <t>CLOSE RATE AS A PRICE THERMOMETER</t>
        </is>
      </c>
    </row>
    <row r="23">
      <c r="B23" s="2" t="inlineStr">
        <is>
          <t>Win rates fall as deal size rises. So an unusually high close rate is evidence of underpricing, not of skill.</t>
        </is>
      </c>
    </row>
    <row r="24">
      <c r="B24" s="6" t="inlineStr">
        <is>
          <t>Observed close rate</t>
        </is>
      </c>
      <c r="C24" s="6" t="inlineStr">
        <is>
          <t>Diagnosis</t>
        </is>
      </c>
      <c r="G24" s="6" t="inlineStr">
        <is>
          <t>Action</t>
        </is>
      </c>
    </row>
    <row r="25">
      <c r="B25" s="29" t="inlineStr">
        <is>
          <t>Above 40%</t>
        </is>
      </c>
      <c r="C25" s="7" t="inlineStr">
        <is>
          <t>Far above the $10-50K benchmark band of 20-28%. Underpriced</t>
        </is>
      </c>
      <c r="G25" s="5" t="inlineStr">
        <is>
          <t>Raise price 25-40% on the next 10 deals</t>
        </is>
      </c>
    </row>
    <row r="26">
      <c r="B26" s="29" t="inlineStr">
        <is>
          <t>30% to 40%</t>
        </is>
      </c>
      <c r="C26" s="7" t="inlineStr">
        <is>
          <t>Top quartile for the band. Price near optimal</t>
        </is>
      </c>
      <c r="G26" s="5" t="inlineStr">
        <is>
          <t>Hold. Optimise elsewhere</t>
        </is>
      </c>
    </row>
    <row r="27">
      <c r="B27" s="29" t="inlineStr">
        <is>
          <t>20% to 30%</t>
        </is>
      </c>
      <c r="C27" s="7" t="inlineStr">
        <is>
          <t>At benchmark</t>
        </is>
      </c>
      <c r="G27" s="5" t="inlineStr">
        <is>
          <t>Hold price, improve qualification</t>
        </is>
      </c>
    </row>
    <row r="28">
      <c r="B28" s="29" t="inlineStr">
        <is>
          <t>Below 20%</t>
        </is>
      </c>
      <c r="C28" s="7" t="inlineStr">
        <is>
          <t>Read the loss reason, not the rate</t>
        </is>
      </c>
      <c r="G28" s="5" t="inlineStr">
        <is>
          <t>Price objection = price too high. No-decision = targeting wrong. Opposite fixes</t>
        </is>
      </c>
    </row>
    <row r="30">
      <c r="B30" s="32" t="inlineStr">
        <is>
          <t>Note: the top of the stated 30-50% target is the warning line, not the goal. Aim at 30-35%.</t>
        </is>
      </c>
    </row>
    <row r="31">
      <c r="B31" s="2" t="inlineStr">
        <is>
          <t>Source: optif.ai (939 companies), zenitdata.com, landbase.com, salesmotion.io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34" customWidth="1" min="3" max="3"/>
    <col width="20" customWidth="1" min="4" max="4"/>
    <col width="12" customWidth="1" min="5" max="5"/>
    <col width="52" customWidth="1" min="6" max="6"/>
  </cols>
  <sheetData>
    <row r="2">
      <c r="B2" s="1" t="inlineStr">
        <is>
          <t>Data Source Map</t>
        </is>
      </c>
    </row>
    <row r="3">
      <c r="B3" s="2" t="inlineStr">
        <is>
          <t>Google Maps is the universe. Apollo and ZoomInfo are enrichment, never discovery.</t>
        </is>
      </c>
    </row>
    <row r="5">
      <c r="B5" s="35" t="inlineStr">
        <is>
          <t>COVERAGE WARNING</t>
        </is>
      </c>
    </row>
    <row r="6">
      <c r="B6" s="5" t="inlineStr">
        <is>
          <t>ZoomInfo covers approximately 20% of local service providers. Apollo covers less.</t>
        </is>
      </c>
    </row>
    <row r="7">
      <c r="B7" s="5" t="inlineStr">
        <is>
          <t>Building top-of-funnel on Apollo silently discards roughly 80% of the addressable market.</t>
        </is>
      </c>
    </row>
    <row r="8">
      <c r="B8" s="5" t="inlineStr">
        <is>
          <t>This explains the Apollo med spa result: ~500 records nationwide against 10,000+ actual locations.</t>
        </is>
      </c>
    </row>
    <row r="10">
      <c r="B10" s="6" t="inlineStr">
        <is>
          <t>Signal</t>
        </is>
      </c>
      <c r="C10" s="6" t="inlineStr">
        <is>
          <t>Best source</t>
        </is>
      </c>
      <c r="D10" s="6" t="inlineStr">
        <is>
          <t>Cost</t>
        </is>
      </c>
      <c r="E10" s="6" t="inlineStr">
        <is>
          <t>Confidence</t>
        </is>
      </c>
      <c r="F10" s="6" t="inlineStr">
        <is>
          <t>Note</t>
        </is>
      </c>
    </row>
    <row r="11">
      <c r="B11" s="36" t="inlineStr">
        <is>
          <t>Business universe by industry + geo</t>
        </is>
      </c>
      <c r="C11" s="36" t="inlineStr">
        <is>
          <t>Google Maps via Outscraper or Apify</t>
        </is>
      </c>
      <c r="D11" s="36" t="inlineStr">
        <is>
          <t>$1.50-3.00 / 1K</t>
        </is>
      </c>
      <c r="E11" s="29" t="inlineStr">
        <is>
          <t>High</t>
        </is>
      </c>
      <c r="F11" s="5" t="inlineStr">
        <is>
          <t>Outscraper simpler PAYG; Apify better custom extraction. Layer 1 of everything</t>
        </is>
      </c>
    </row>
    <row r="12">
      <c r="B12" s="37" t="inlineStr">
        <is>
          <t>Receptionist job open 30+ days</t>
        </is>
      </c>
      <c r="C12" s="37" t="inlineStr">
        <is>
          <t>Coresignal API</t>
        </is>
      </c>
      <c r="D12" s="37" t="inlineStr">
        <is>
          <t>From $49/mo</t>
        </is>
      </c>
      <c r="E12" s="38" t="inlineStr">
        <is>
          <t>High</t>
        </is>
      </c>
      <c r="F12" s="39" t="inlineStr">
        <is>
          <t>NOT Apollo, NOT scraping Indeed. Coresignal is licensed and aggregates Indeed</t>
        </is>
      </c>
    </row>
    <row r="13">
      <c r="B13" s="36" t="inlineStr">
        <is>
          <t>Reviews citing missed calls</t>
        </is>
      </c>
      <c r="C13" s="36" t="inlineStr">
        <is>
          <t>Google Maps review scrape</t>
        </is>
      </c>
      <c r="D13" s="36" t="inlineStr">
        <is>
          <t>Included in Layer 1</t>
        </is>
      </c>
      <c r="E13" s="29" t="inlineStr">
        <is>
          <t>High</t>
        </is>
      </c>
      <c r="F13" s="5" t="inlineStr">
        <is>
          <t>Free rider on the universe scrape. Highest ROI signal in the stack</t>
        </is>
      </c>
    </row>
    <row r="14">
      <c r="B14" s="37" t="inlineStr">
        <is>
          <t>Review velocity vs rating trend</t>
        </is>
      </c>
      <c r="C14" s="37" t="inlineStr">
        <is>
          <t>Google Maps review timestamps</t>
        </is>
      </c>
      <c r="D14" s="37" t="inlineStr">
        <is>
          <t>Included in Layer 1</t>
        </is>
      </c>
      <c r="E14" s="38" t="inlineStr">
        <is>
          <t>High</t>
        </is>
      </c>
      <c r="F14" s="39" t="inlineStr">
        <is>
          <t>Computed, not scraped</t>
        </is>
      </c>
    </row>
    <row r="15">
      <c r="B15" s="36" t="inlineStr">
        <is>
          <t>Google Business Profile thin</t>
        </is>
      </c>
      <c r="C15" s="36" t="inlineStr">
        <is>
          <t>Google Maps / Places</t>
        </is>
      </c>
      <c r="D15" s="36" t="inlineStr">
        <is>
          <t>Included in Layer 1</t>
        </is>
      </c>
      <c r="E15" s="29" t="inlineStr">
        <is>
          <t>High</t>
        </is>
      </c>
      <c r="F15" s="5" t="inlineStr"/>
    </row>
    <row r="16">
      <c r="B16" s="37" t="inlineStr">
        <is>
          <t>Main line rings to a mobile</t>
        </is>
      </c>
      <c r="C16" s="37" t="inlineStr">
        <is>
          <t>Phone line-type lookup API</t>
        </is>
      </c>
      <c r="D16" s="37" t="inlineStr">
        <is>
          <t>Low per lookup</t>
        </is>
      </c>
      <c r="E16" s="38" t="inlineStr">
        <is>
          <t>High</t>
        </is>
      </c>
      <c r="F16" s="39" t="inlineStr">
        <is>
          <t>MANDATORY FILTER. Doubles connect rate from 8-12% to 18-22%</t>
        </is>
      </c>
    </row>
    <row r="17">
      <c r="B17" s="40" t="inlineStr">
        <is>
          <t>Yelp response time over 1 hour</t>
        </is>
      </c>
      <c r="C17" s="40" t="inlineStr">
        <is>
          <t>NOT RELIABLY OBTAINABLE</t>
        </is>
      </c>
      <c r="D17" s="40" t="inlineStr">
        <is>
          <t>n/a</t>
        </is>
      </c>
      <c r="E17" s="41" t="inlineStr">
        <is>
          <t>Low</t>
        </is>
      </c>
      <c r="F17" s="42" t="inlineStr">
        <is>
          <t>Fusion API lacks the field, scraping prohibited. Use unanswered-reviews proxy instead</t>
        </is>
      </c>
    </row>
    <row r="18">
      <c r="B18" s="37" t="inlineStr">
        <is>
          <t>Website tech, no chat widget</t>
        </is>
      </c>
      <c r="C18" s="37" t="inlineStr">
        <is>
          <t>Self-built HTTP fetch + DOM parse</t>
        </is>
      </c>
      <c r="D18" s="37" t="inlineStr">
        <is>
          <t>Near zero</t>
        </is>
      </c>
      <c r="E18" s="38" t="inlineStr">
        <is>
          <t>High</t>
        </is>
      </c>
      <c r="F18" s="39" t="inlineStr">
        <is>
          <t>Build it yourself, no vendor needed</t>
        </is>
      </c>
    </row>
    <row r="19">
      <c r="B19" s="36" t="inlineStr">
        <is>
          <t>Incumbent software detection</t>
        </is>
      </c>
      <c r="C19" s="36" t="inlineStr">
        <is>
          <t>Tech detection, vendor TBD</t>
        </is>
      </c>
      <c r="D19" s="36" t="inlineStr">
        <is>
          <t>Unknown</t>
        </is>
      </c>
      <c r="E19" s="29" t="inlineStr">
        <is>
          <t>Medium</t>
        </is>
      </c>
      <c r="F19" s="5" t="inlineStr">
        <is>
          <t>OPEN RESEARCH ITEM. Do not assume BuiltWith or Wappalyzer covers Boulevard or Zenoti</t>
        </is>
      </c>
    </row>
    <row r="20">
      <c r="B20" s="37" t="inlineStr">
        <is>
          <t>SEO rank #4-10</t>
        </is>
      </c>
      <c r="C20" s="37" t="inlineStr">
        <is>
          <t>Rank tracking API by geo</t>
        </is>
      </c>
      <c r="D20" s="37" t="inlineStr">
        <is>
          <t>Scales with keywords</t>
        </is>
      </c>
      <c r="E20" s="38" t="inlineStr">
        <is>
          <t>Medium</t>
        </is>
      </c>
      <c r="F20" s="39" t="inlineStr">
        <is>
          <t>Cost scales with keyword x location. Budget carefully</t>
        </is>
      </c>
    </row>
    <row r="21">
      <c r="B21" s="36" t="inlineStr">
        <is>
          <t>Paid ads running</t>
        </is>
      </c>
      <c r="C21" s="36" t="inlineStr">
        <is>
          <t>Meta Ad Library plus paid search tool</t>
        </is>
      </c>
      <c r="D21" s="36" t="inlineStr">
        <is>
          <t>Free to low</t>
        </is>
      </c>
      <c r="E21" s="29" t="inlineStr">
        <is>
          <t>High</t>
        </is>
      </c>
      <c r="F21" s="5" t="inlineStr">
        <is>
          <t>Meta Ad Library is free and a strong solvency proxy</t>
        </is>
      </c>
    </row>
    <row r="22">
      <c r="B22" s="37" t="inlineStr">
        <is>
          <t>Permits, licences, fleet, DOT</t>
        </is>
      </c>
      <c r="C22" s="37" t="inlineStr">
        <is>
          <t>State and county public records</t>
        </is>
      </c>
      <c r="D22" s="37" t="inlineStr">
        <is>
          <t>Low cost, high labour</t>
        </is>
      </c>
      <c r="E22" s="38" t="inlineStr">
        <is>
          <t>Medium</t>
        </is>
      </c>
      <c r="F22" s="39" t="inlineStr">
        <is>
          <t>The non-Google solvency layer. Reserve for shortlist</t>
        </is>
      </c>
    </row>
    <row r="23">
      <c r="B23" s="36" t="inlineStr">
        <is>
          <t>PE activity, grooming for exit</t>
        </is>
      </c>
      <c r="C23" s="36" t="inlineStr">
        <is>
          <t>Roll-up trackers, banker listings</t>
        </is>
      </c>
      <c r="D23" s="36" t="inlineStr">
        <is>
          <t>Medium</t>
        </is>
      </c>
      <c r="E23" s="29" t="inlineStr">
        <is>
          <t>Medium</t>
        </is>
      </c>
      <c r="F23" s="5" t="inlineStr">
        <is>
          <t>Strongest signal in the matrix. Partly manual</t>
        </is>
      </c>
    </row>
    <row r="24">
      <c r="B24" s="37" t="inlineStr">
        <is>
          <t>Owner name and contact</t>
        </is>
      </c>
      <c r="C24" s="37" t="inlineStr">
        <is>
          <t>Apollo then manual</t>
        </is>
      </c>
      <c r="D24" s="37" t="inlineStr">
        <is>
          <t>From $49/mo</t>
        </is>
      </c>
      <c r="E24" s="38" t="inlineStr">
        <is>
          <t>Low-Med</t>
        </is>
      </c>
      <c r="F24" s="39" t="inlineStr">
        <is>
          <t>~20% coverage. Plan for manual research on the rest</t>
        </is>
      </c>
    </row>
    <row r="26">
      <c r="B26" s="35" t="inlineStr">
        <is>
          <t>ARCHITECTURAL WARNING</t>
        </is>
      </c>
    </row>
    <row r="27">
      <c r="B27" s="5" t="inlineStr">
        <is>
          <t>Proxycurl shut down permanently on 4 July 2025 after LinkedIn's federal lawsuit. A pipeline built on a scraper that gets litigated out of existence dies overnight. Use licensed providers for anything load-bearing.</t>
        </is>
      </c>
    </row>
    <row r="29">
      <c r="B29" s="2" t="inlineStr">
        <is>
          <t>Full citations in prospecting/03-deployment-plan-50k-mrr.md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22" customWidth="1" min="3" max="3"/>
    <col width="20" customWidth="1" min="4" max="4"/>
    <col width="44" customWidth="1" min="5" max="5"/>
    <col width="44" customWidth="1" min="6" max="6"/>
  </cols>
  <sheetData>
    <row r="2">
      <c r="B2" s="1" t="inlineStr">
        <is>
          <t>Phase Plan</t>
        </is>
      </c>
    </row>
    <row r="3">
      <c r="B3" s="2" t="inlineStr">
        <is>
          <t>The real deadline is 1 October, not 31 December. Mid-market cycles run 30-90 days.</t>
        </is>
      </c>
    </row>
    <row r="5">
      <c r="B5" s="6" t="inlineStr">
        <is>
          <t>Phase</t>
        </is>
      </c>
      <c r="C5" s="6" t="inlineStr">
        <is>
          <t>When</t>
        </is>
      </c>
      <c r="D5" s="6" t="inlineStr">
        <is>
          <t>Goal</t>
        </is>
      </c>
      <c r="E5" s="6" t="inlineStr">
        <is>
          <t>Exit criteria</t>
        </is>
      </c>
      <c r="F5" s="6" t="inlineStr">
        <is>
          <t>Primary risk</t>
        </is>
      </c>
    </row>
    <row r="6" ht="44" customHeight="1">
      <c r="B6" s="29" t="inlineStr">
        <is>
          <t>Phase 0</t>
        </is>
      </c>
      <c r="C6" s="36" t="inlineStr">
        <is>
          <t>This week</t>
        </is>
      </c>
      <c r="D6" s="43" t="inlineStr">
        <is>
          <t>Decide and unblock</t>
        </is>
      </c>
      <c r="E6" s="44" t="inlineStr">
        <is>
          <t>Current MRR known; Josh Astone and JJ Jardina in the repo; domain bought and warming</t>
        </is>
      </c>
      <c r="F6" s="44" t="inlineStr">
        <is>
          <t>Domain warmup is the hidden critical path. Delay here costs October</t>
        </is>
      </c>
    </row>
    <row r="7" ht="44" customHeight="1">
      <c r="B7" s="38" t="inlineStr">
        <is>
          <t>Phase 1</t>
        </is>
      </c>
      <c r="C7" s="37" t="inlineStr">
        <is>
          <t>Aug wk 1-2</t>
        </is>
      </c>
      <c r="D7" s="45" t="inlineStr">
        <is>
          <t>Foundations, build nothing</t>
        </is>
      </c>
      <c r="E7" s="46" t="inlineStr">
        <is>
          <t>Compliance Gate 1 signed; price ladder set; every data source verified; 2,000-5,000 entity universe</t>
        </is>
      </c>
      <c r="F7" s="46" t="inlineStr">
        <is>
          <t>KILL CRITERION: cost per qualified prospect above $50 breaks the unit economics</t>
        </is>
      </c>
    </row>
    <row r="8" ht="44" customHeight="1">
      <c r="B8" s="29" t="inlineStr">
        <is>
          <t>Phase 2</t>
        </is>
      </c>
      <c r="C8" s="36" t="inlineStr">
        <is>
          <t>Aug wk 3-4</t>
        </is>
      </c>
      <c r="D8" s="43" t="inlineStr">
        <is>
          <t>Build the engine</t>
        </is>
      </c>
      <c r="E8" s="44" t="inlineStr">
        <is>
          <t>50 scored dossiers, 20 hand-verified, measured false-positive rate per signal</t>
        </is>
      </c>
      <c r="F8" s="44" t="inlineStr">
        <is>
          <t>Building signals that turn out not to be feedable. Yelp is the known case</t>
        </is>
      </c>
    </row>
    <row r="9" ht="44" customHeight="1">
      <c r="B9" s="38" t="inlineStr">
        <is>
          <t>Phase 3</t>
        </is>
      </c>
      <c r="C9" s="37" t="inlineStr">
        <is>
          <t>September</t>
        </is>
      </c>
      <c r="D9" s="45" t="inlineStr">
        <is>
          <t>Pilot and calibrate</t>
        </is>
      </c>
      <c r="E9" s="46" t="inlineStr">
        <is>
          <t>Real measured numbers for all four conversion rates; this model re-run with them</t>
        </is>
      </c>
      <c r="F9" s="46" t="inlineStr">
        <is>
          <t>Skipping this phase under time pressure. It is the one that de-risks everything</t>
        </is>
      </c>
    </row>
    <row r="10" ht="44" customHeight="1">
      <c r="B10" s="29" t="inlineStr">
        <is>
          <t>Phase 4</t>
        </is>
      </c>
      <c r="C10" s="36" t="inlineStr">
        <is>
          <t>October-Nov</t>
        </is>
      </c>
      <c r="D10" s="43" t="inlineStr">
        <is>
          <t>Full volume. BUILD FREEZES 1 OCT</t>
        </is>
      </c>
      <c r="E10" s="44" t="inlineStr">
        <is>
          <t>Pipeline sufficient that arithmetic, not hope, produces the target</t>
        </is>
      </c>
      <c r="F10" s="44" t="inlineStr">
        <is>
          <t>Engineering past 1 October steals hours from the close window</t>
        </is>
      </c>
    </row>
    <row r="11" ht="44" customHeight="1">
      <c r="B11" s="38" t="inlineStr">
        <is>
          <t>Phase 5</t>
        </is>
      </c>
      <c r="C11" s="37" t="inlineStr">
        <is>
          <t>Nov-Dec</t>
        </is>
      </c>
      <c r="D11" s="45" t="inlineStr">
        <is>
          <t>Close only</t>
        </is>
      </c>
      <c r="E11" s="46" t="inlineStr">
        <is>
          <t>$50K exit MRR at 31 December</t>
        </is>
      </c>
      <c r="F11" s="46" t="inlineStr">
        <is>
          <t>Delivery capacity becomes the binding constraint, not lead flow</t>
        </is>
      </c>
    </row>
    <row r="14">
      <c r="B14" s="3" t="inlineStr">
        <is>
          <t>WHAT KILLS THIS — ranked by probability times damage</t>
        </is>
      </c>
    </row>
    <row r="15">
      <c r="B15" s="6" t="inlineStr">
        <is>
          <t>Rank</t>
        </is>
      </c>
      <c r="C15" s="6" t="inlineStr">
        <is>
          <t>Risk</t>
        </is>
      </c>
      <c r="E15" s="6" t="inlineStr">
        <is>
          <t>Mitigation</t>
        </is>
      </c>
      <c r="F15" s="6" t="inlineStr">
        <is>
          <t>Phase</t>
        </is>
      </c>
    </row>
    <row r="16">
      <c r="B16" s="47" t="n">
        <v>1</v>
      </c>
      <c r="C16" s="36" t="inlineStr">
        <is>
          <t>Set rate lands at benchmark, not top quartile</t>
        </is>
      </c>
      <c r="E16" s="48" t="inlineStr">
        <is>
          <t>Pilot before committing; raise ACV; add a dialer</t>
        </is>
      </c>
      <c r="F16" s="36" t="inlineStr">
        <is>
          <t>3</t>
        </is>
      </c>
    </row>
    <row r="17">
      <c r="B17" s="47" t="n">
        <v>2</v>
      </c>
      <c r="C17" s="36" t="inlineStr">
        <is>
          <t>Aaron and Alec become the bottleneck across four functions</t>
        </is>
      </c>
      <c r="E17" s="48" t="inlineStr">
        <is>
          <t>Dedicated dialer hired in Phase 1</t>
        </is>
      </c>
      <c r="F17" s="36" t="inlineStr">
        <is>
          <t>1</t>
        </is>
      </c>
    </row>
    <row r="18">
      <c r="B18" s="47" t="n">
        <v>3</v>
      </c>
      <c r="C18" s="36" t="inlineStr">
        <is>
          <t>Building past 1 October eats the close window</t>
        </is>
      </c>
      <c r="E18" s="48" t="inlineStr">
        <is>
          <t>Hard build freeze, treated as a real date</t>
        </is>
      </c>
      <c r="F18" s="36" t="inlineStr">
        <is>
          <t>4</t>
        </is>
      </c>
    </row>
    <row r="19">
      <c r="B19" s="47" t="n">
        <v>4</v>
      </c>
      <c r="C19" s="36" t="inlineStr">
        <is>
          <t>Delivery capacity binds before lead flow does</t>
        </is>
      </c>
      <c r="E19" s="48" t="inlineStr">
        <is>
          <t>Charge setup fees to fund capacity</t>
        </is>
      </c>
      <c r="F19" s="36" t="inlineStr">
        <is>
          <t>5</t>
        </is>
      </c>
    </row>
    <row r="20">
      <c r="B20" s="47" t="n">
        <v>5</v>
      </c>
      <c r="C20" s="36" t="inlineStr">
        <is>
          <t>Signals turn out not to be scrapable</t>
        </is>
      </c>
      <c r="E20" s="48" t="inlineStr">
        <is>
          <t>Validate every source in Phase 1</t>
        </is>
      </c>
      <c r="F20" s="36" t="inlineStr">
        <is>
          <t>1</t>
        </is>
      </c>
    </row>
    <row r="21">
      <c r="B21" s="47" t="n">
        <v>6</v>
      </c>
      <c r="C21" s="36" t="inlineStr">
        <is>
          <t>Compliance stops the SMS leg after the cadence is built on it</t>
        </is>
      </c>
      <c r="E21" s="48" t="inlineStr">
        <is>
          <t>Gate 1 before any build</t>
        </is>
      </c>
      <c r="F21" s="36" t="inlineStr">
        <is>
          <t>1</t>
        </is>
      </c>
    </row>
    <row r="22">
      <c r="B22" s="47" t="n">
        <v>7</v>
      </c>
      <c r="C22" s="36" t="inlineStr">
        <is>
          <t>Domain warmup started too late</t>
        </is>
      </c>
      <c r="E22" s="48" t="inlineStr">
        <is>
          <t>Buy and warm in Phase 0</t>
        </is>
      </c>
      <c r="F22" s="36" t="inlineStr">
        <is>
          <t>0</t>
        </is>
      </c>
    </row>
    <row r="23">
      <c r="B23" s="47" t="n">
        <v>8</v>
      </c>
      <c r="C23" s="36" t="inlineStr">
        <is>
          <t>80% contact coverage gap forces unsustainable manual research</t>
        </is>
      </c>
      <c r="E23" s="48" t="inlineStr">
        <is>
          <t>Maps as universe; budget manual time explicitly</t>
        </is>
      </c>
      <c r="F23" s="36" t="inlineStr">
        <is>
          <t>1</t>
        </is>
      </c>
    </row>
    <row r="24">
      <c r="B24" s="47" t="n">
        <v>9</v>
      </c>
      <c r="C24" s="36" t="inlineStr">
        <is>
          <t>Underpricing at $1,000 when the ICP supports $2,500+</t>
        </is>
      </c>
      <c r="E24" s="48" t="inlineStr">
        <is>
          <t>Package ladder; close rate thermometer</t>
        </is>
      </c>
      <c r="F24" s="36" t="inlineStr">
        <is>
          <t>1</t>
        </is>
      </c>
    </row>
    <row r="25">
      <c r="B25" s="47" t="n">
        <v>10</v>
      </c>
      <c r="C25" s="36" t="inlineStr">
        <is>
          <t>Scoring model never calibrated, reference accounts never arrive</t>
        </is>
      </c>
      <c r="E25" s="48" t="inlineStr">
        <is>
          <t>Phase 0 blocker. Say so plainly if it slips</t>
        </is>
      </c>
      <c r="F25" s="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2026-08-06T19:34:54Z</dcterms:created>
  <dcterms:modified xsi:type="dcterms:W3CDTF">2026-08-06T19:34:54Z</dcterms:modified>
</cp:coreProperties>
</file>